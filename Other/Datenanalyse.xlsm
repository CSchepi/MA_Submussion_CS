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chepi\Desktop\Masterarbeit\"/>
    </mc:Choice>
  </mc:AlternateContent>
  <xr:revisionPtr revIDLastSave="0" documentId="13_ncr:1_{71B382C9-A708-4A87-9A61-836D571A43A6}" xr6:coauthVersionLast="47" xr6:coauthVersionMax="47" xr10:uidLastSave="{00000000-0000-0000-0000-000000000000}"/>
  <bookViews>
    <workbookView xWindow="-28920" yWindow="-120" windowWidth="29040" windowHeight="15990" activeTab="2" xr2:uid="{16F81457-D1D1-4081-A3E8-DFC0FF02DCC2}"/>
  </bookViews>
  <sheets>
    <sheet name="Zutaten_Analyse" sheetId="1" r:id="rId1"/>
    <sheet name="Rezept_Analyse" sheetId="5" r:id="rId2"/>
    <sheet name="Zutaten_Daten" sheetId="2" r:id="rId3"/>
    <sheet name="Rezept_Date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1" i="2" l="1"/>
  <c r="F51" i="2"/>
  <c r="F57" i="2"/>
  <c r="F58" i="2"/>
  <c r="F62" i="2"/>
  <c r="F65" i="2"/>
  <c r="G65" i="2" s="1"/>
  <c r="F67" i="2"/>
  <c r="F72" i="2"/>
  <c r="F75" i="2"/>
  <c r="G75" i="2" s="1"/>
  <c r="F78" i="2"/>
  <c r="F84" i="2"/>
  <c r="G84" i="2" s="1"/>
  <c r="F86" i="2"/>
  <c r="F87" i="2"/>
  <c r="G87" i="2" s="1"/>
  <c r="F88" i="2"/>
  <c r="G88" i="2" s="1"/>
  <c r="F91" i="2"/>
  <c r="G91" i="2" s="1"/>
  <c r="F94" i="2"/>
  <c r="G94" i="2" s="1"/>
  <c r="F95" i="2"/>
  <c r="G95" i="2" s="1"/>
  <c r="F33" i="2"/>
  <c r="F41" i="2"/>
  <c r="F42" i="2"/>
  <c r="F45" i="2"/>
  <c r="F46" i="2"/>
  <c r="G46" i="2" s="1"/>
  <c r="F48" i="2"/>
  <c r="G48" i="2" s="1"/>
  <c r="F53" i="2"/>
  <c r="G53" i="2" s="1"/>
  <c r="F56" i="2"/>
  <c r="F68" i="2"/>
  <c r="F71" i="2"/>
  <c r="F73" i="2"/>
  <c r="F85" i="2"/>
  <c r="G85" i="2" s="1"/>
  <c r="F16" i="2"/>
  <c r="G16" i="2" s="1"/>
  <c r="F39" i="2"/>
  <c r="F59" i="2"/>
  <c r="G59" i="2" s="1"/>
  <c r="F61" i="2"/>
  <c r="F63" i="2"/>
  <c r="F74" i="2"/>
  <c r="G74" i="2" s="1"/>
  <c r="F83" i="2"/>
  <c r="F92" i="2"/>
  <c r="F96" i="2"/>
  <c r="G96" i="2" s="1"/>
  <c r="F20" i="2"/>
  <c r="F36" i="2"/>
  <c r="G36" i="2" s="1"/>
  <c r="F43" i="2"/>
  <c r="F44" i="2"/>
  <c r="F82" i="2"/>
  <c r="G82" i="2" s="1"/>
  <c r="F35" i="2"/>
  <c r="F38" i="2"/>
  <c r="F52" i="2"/>
  <c r="G52" i="2" s="1"/>
  <c r="F90" i="2"/>
  <c r="G90" i="2" s="1"/>
  <c r="F66" i="2"/>
  <c r="G66" i="2" s="1"/>
  <c r="F93" i="2"/>
  <c r="G93" i="2" s="1"/>
  <c r="F99" i="2"/>
  <c r="F60" i="2"/>
  <c r="G60" i="2" s="1"/>
  <c r="F40" i="2"/>
  <c r="F49" i="2"/>
  <c r="G49" i="2" s="1"/>
  <c r="F101" i="2"/>
  <c r="G101" i="2" s="1"/>
  <c r="F77" i="2"/>
  <c r="G77" i="2" s="1"/>
  <c r="F18" i="2"/>
  <c r="F50" i="2"/>
  <c r="G50" i="2" s="1"/>
  <c r="F70" i="2"/>
  <c r="F79" i="2"/>
  <c r="F80" i="2"/>
  <c r="F64" i="2"/>
  <c r="G64" i="2" s="1"/>
  <c r="F69" i="2"/>
  <c r="G69" i="2" s="1"/>
  <c r="F76" i="2"/>
  <c r="G76" i="2" s="1"/>
  <c r="F19" i="2"/>
  <c r="G19" i="2" s="1"/>
  <c r="F55" i="2"/>
  <c r="G55" i="2" s="1"/>
  <c r="F23" i="2"/>
  <c r="F54" i="2"/>
  <c r="G54" i="2" s="1"/>
  <c r="F32" i="2"/>
  <c r="F8" i="2"/>
  <c r="F14" i="2"/>
  <c r="G14" i="2" s="1"/>
  <c r="F15" i="2"/>
  <c r="F11" i="2"/>
  <c r="F97" i="2"/>
  <c r="G97" i="2" s="1"/>
  <c r="F31" i="2"/>
  <c r="F34" i="2"/>
  <c r="G34" i="2" s="1"/>
  <c r="F24" i="2"/>
  <c r="F89" i="2"/>
  <c r="F47" i="2"/>
  <c r="F37" i="2"/>
  <c r="G37" i="2" s="1"/>
  <c r="F22" i="2"/>
  <c r="G22" i="2" s="1"/>
  <c r="F100" i="2"/>
  <c r="F4" i="2"/>
  <c r="F6" i="2"/>
  <c r="F21" i="2"/>
  <c r="F26" i="2"/>
  <c r="G26" i="2" s="1"/>
  <c r="F28" i="2"/>
  <c r="G28" i="2" s="1"/>
  <c r="F30" i="2"/>
  <c r="G30" i="2" s="1"/>
  <c r="F98" i="2"/>
  <c r="F7" i="2"/>
  <c r="G7" i="2" s="1"/>
  <c r="F27" i="2"/>
  <c r="F29" i="2"/>
  <c r="G29" i="2" s="1"/>
  <c r="F12" i="2"/>
  <c r="F102" i="2"/>
  <c r="F25" i="2"/>
  <c r="G25" i="2" s="1"/>
  <c r="F13" i="2"/>
  <c r="G13" i="2" s="1"/>
  <c r="F10" i="2"/>
  <c r="G10" i="2" s="1"/>
  <c r="F17" i="2"/>
  <c r="G17" i="2" s="1"/>
  <c r="F3" i="2"/>
  <c r="F5" i="2"/>
  <c r="F9" i="2"/>
  <c r="G41" i="2"/>
  <c r="G39" i="2"/>
  <c r="G20" i="2"/>
  <c r="G79" i="2"/>
  <c r="G15" i="2"/>
  <c r="H434" i="4"/>
  <c r="H419" i="4"/>
  <c r="H80" i="4"/>
  <c r="H88" i="4"/>
  <c r="H32" i="4"/>
  <c r="H270" i="4"/>
  <c r="H169" i="4"/>
  <c r="I169" i="4" s="1"/>
  <c r="H134" i="4"/>
  <c r="I134" i="4" s="1"/>
  <c r="H300" i="4"/>
  <c r="H245" i="4"/>
  <c r="H421" i="4"/>
  <c r="H13" i="4"/>
  <c r="H251" i="4"/>
  <c r="H190" i="4"/>
  <c r="I190" i="4" s="1"/>
  <c r="H436" i="4"/>
  <c r="I436" i="4" s="1"/>
  <c r="H324" i="4"/>
  <c r="I324" i="4" s="1"/>
  <c r="H269" i="4"/>
  <c r="H43" i="4"/>
  <c r="H381" i="4"/>
  <c r="H273" i="4"/>
  <c r="H291" i="4"/>
  <c r="H140" i="4"/>
  <c r="I140" i="4" s="1"/>
  <c r="H257" i="4"/>
  <c r="I257" i="4" s="1"/>
  <c r="H176" i="4"/>
  <c r="I176" i="4" s="1"/>
  <c r="H17" i="4"/>
  <c r="H344" i="4"/>
  <c r="H26" i="4"/>
  <c r="H320" i="4"/>
  <c r="H5" i="4"/>
  <c r="H408" i="4"/>
  <c r="H239" i="4"/>
  <c r="I239" i="4" s="1"/>
  <c r="H45" i="4"/>
  <c r="H38" i="4"/>
  <c r="H111" i="4"/>
  <c r="H18" i="4"/>
  <c r="H268" i="4"/>
  <c r="I268" i="4" s="1"/>
  <c r="H62" i="4"/>
  <c r="H435" i="4"/>
  <c r="H327" i="4"/>
  <c r="I327" i="4" s="1"/>
  <c r="H164" i="4"/>
  <c r="I164" i="4" s="1"/>
  <c r="H86" i="4"/>
  <c r="H113" i="4"/>
  <c r="H326" i="4"/>
  <c r="H440" i="4"/>
  <c r="H85" i="4"/>
  <c r="H279" i="4"/>
  <c r="I279" i="4" s="1"/>
  <c r="H301" i="4"/>
  <c r="I301" i="4" s="1"/>
  <c r="H429" i="4"/>
  <c r="I429" i="4" s="1"/>
  <c r="H147" i="4"/>
  <c r="H443" i="4"/>
  <c r="H120" i="4"/>
  <c r="H437" i="4"/>
  <c r="H72" i="4"/>
  <c r="H23" i="4"/>
  <c r="H225" i="4"/>
  <c r="I225" i="4" s="1"/>
  <c r="H141" i="4"/>
  <c r="I141" i="4" s="1"/>
  <c r="H6" i="4"/>
  <c r="H127" i="4"/>
  <c r="H187" i="4"/>
  <c r="H232" i="4"/>
  <c r="H274" i="4"/>
  <c r="I274" i="4" s="1"/>
  <c r="H420" i="4"/>
  <c r="H125" i="4"/>
  <c r="I125" i="4" s="1"/>
  <c r="H260" i="4"/>
  <c r="I260" i="4" s="1"/>
  <c r="H136" i="4"/>
  <c r="H153" i="4"/>
  <c r="H275" i="4"/>
  <c r="H422" i="4"/>
  <c r="H61" i="4"/>
  <c r="H374" i="4"/>
  <c r="H316" i="4"/>
  <c r="I316" i="4" s="1"/>
  <c r="H261" i="4"/>
  <c r="I261" i="4" s="1"/>
  <c r="H410" i="4"/>
  <c r="H36" i="4"/>
  <c r="H319" i="4"/>
  <c r="H265" i="4"/>
  <c r="H288" i="4"/>
  <c r="I288" i="4" s="1"/>
  <c r="H377" i="4"/>
  <c r="H432" i="4"/>
  <c r="I432" i="4" s="1"/>
  <c r="H158" i="4"/>
  <c r="I158" i="4" s="1"/>
  <c r="H264" i="4"/>
  <c r="H226" i="4"/>
  <c r="H25" i="4"/>
  <c r="H212" i="4"/>
  <c r="I212" i="4" s="1"/>
  <c r="H244" i="4"/>
  <c r="H383" i="4"/>
  <c r="H89" i="4"/>
  <c r="I89" i="4" s="1"/>
  <c r="H253" i="4"/>
  <c r="I253" i="4" s="1"/>
  <c r="H216" i="4"/>
  <c r="H386" i="4"/>
  <c r="H37" i="4"/>
  <c r="H267" i="4"/>
  <c r="H105" i="4"/>
  <c r="H94" i="4"/>
  <c r="H100" i="4"/>
  <c r="H11" i="4"/>
  <c r="I11" i="4" s="1"/>
  <c r="H250" i="4"/>
  <c r="H69" i="4"/>
  <c r="H10" i="4"/>
  <c r="H394" i="4"/>
  <c r="H98" i="4"/>
  <c r="H161" i="4"/>
  <c r="H329" i="4"/>
  <c r="I329" i="4" s="1"/>
  <c r="H167" i="4"/>
  <c r="I167" i="4" s="1"/>
  <c r="H57" i="4"/>
  <c r="H3" i="4"/>
  <c r="H424" i="4"/>
  <c r="H366" i="4"/>
  <c r="H163" i="4"/>
  <c r="I163" i="4" s="1"/>
  <c r="H364" i="4"/>
  <c r="H60" i="4"/>
  <c r="I60" i="4" s="1"/>
  <c r="H398" i="4"/>
  <c r="I398" i="4" s="1"/>
  <c r="H53" i="4"/>
  <c r="H297" i="4"/>
  <c r="H353" i="4"/>
  <c r="H296" i="4"/>
  <c r="H278" i="4"/>
  <c r="H382" i="4"/>
  <c r="H384" i="4"/>
  <c r="I384" i="4" s="1"/>
  <c r="H65" i="4"/>
  <c r="I65" i="4" s="1"/>
  <c r="H99" i="4"/>
  <c r="H416" i="4"/>
  <c r="H92" i="4"/>
  <c r="H76" i="4"/>
  <c r="H68" i="4"/>
  <c r="H338" i="4"/>
  <c r="H193" i="4"/>
  <c r="I193" i="4" s="1"/>
  <c r="H31" i="4"/>
  <c r="I31" i="4" s="1"/>
  <c r="H323" i="4"/>
  <c r="H272" i="4"/>
  <c r="H240" i="4"/>
  <c r="H132" i="4"/>
  <c r="I132" i="4" s="1"/>
  <c r="H206" i="4"/>
  <c r="I206" i="4" s="1"/>
  <c r="H54" i="4"/>
  <c r="H218" i="4"/>
  <c r="I218" i="4" s="1"/>
  <c r="H223" i="4"/>
  <c r="I223" i="4" s="1"/>
  <c r="H312" i="4"/>
  <c r="I312" i="4" s="1"/>
  <c r="H412" i="4"/>
  <c r="H165" i="4"/>
  <c r="H283" i="4"/>
  <c r="H285" i="4"/>
  <c r="I285" i="4" s="1"/>
  <c r="H67" i="4"/>
  <c r="H185" i="4"/>
  <c r="I185" i="4" s="1"/>
  <c r="H311" i="4"/>
  <c r="I311" i="4" s="1"/>
  <c r="H433" i="4"/>
  <c r="I433" i="4" s="1"/>
  <c r="H322" i="4"/>
  <c r="H130" i="4"/>
  <c r="H173" i="4"/>
  <c r="I173" i="4" s="1"/>
  <c r="H439" i="4"/>
  <c r="H409" i="4"/>
  <c r="H180" i="4"/>
  <c r="I180" i="4" s="1"/>
  <c r="H385" i="4"/>
  <c r="I385" i="4" s="1"/>
  <c r="H229" i="4"/>
  <c r="I229" i="4" s="1"/>
  <c r="H237" i="4"/>
  <c r="H33" i="4"/>
  <c r="H124" i="4"/>
  <c r="I124" i="4" s="1"/>
  <c r="H150" i="4"/>
  <c r="I150" i="4" s="1"/>
  <c r="H112" i="4"/>
  <c r="I112" i="4" s="1"/>
  <c r="H168" i="4"/>
  <c r="I168" i="4" s="1"/>
  <c r="H142" i="4"/>
  <c r="H58" i="4"/>
  <c r="H228" i="4"/>
  <c r="H121" i="4"/>
  <c r="H34" i="4"/>
  <c r="H350" i="4"/>
  <c r="I350" i="4" s="1"/>
  <c r="H93" i="4"/>
  <c r="H307" i="4"/>
  <c r="I307" i="4" s="1"/>
  <c r="H170" i="4"/>
  <c r="I170" i="4" s="1"/>
  <c r="H254" i="4"/>
  <c r="I254" i="4" s="1"/>
  <c r="H441" i="4"/>
  <c r="H51" i="4"/>
  <c r="H305" i="4"/>
  <c r="I305" i="4" s="1"/>
  <c r="H174" i="4"/>
  <c r="I174" i="4" s="1"/>
  <c r="H116" i="4"/>
  <c r="I116" i="4" s="1"/>
  <c r="H110" i="4"/>
  <c r="I110" i="4" s="1"/>
  <c r="H46" i="4"/>
  <c r="I46" i="4" s="1"/>
  <c r="H224" i="4"/>
  <c r="I224" i="4" s="1"/>
  <c r="H241" i="4"/>
  <c r="H16" i="4"/>
  <c r="H78" i="4"/>
  <c r="H9" i="4"/>
  <c r="H314" i="4"/>
  <c r="H145" i="4"/>
  <c r="I145" i="4" s="1"/>
  <c r="H246" i="4"/>
  <c r="I246" i="4" s="1"/>
  <c r="H426" i="4"/>
  <c r="I426" i="4" s="1"/>
  <c r="H414" i="4"/>
  <c r="H387" i="4"/>
  <c r="H348" i="4"/>
  <c r="H192" i="4"/>
  <c r="I192" i="4" s="1"/>
  <c r="H428" i="4"/>
  <c r="H75" i="4"/>
  <c r="I75" i="4" s="1"/>
  <c r="H70" i="4"/>
  <c r="I70" i="4" s="1"/>
  <c r="H290" i="4"/>
  <c r="I290" i="4" s="1"/>
  <c r="H390" i="4"/>
  <c r="H41" i="4"/>
  <c r="H415" i="4"/>
  <c r="H71" i="4"/>
  <c r="H310" i="4"/>
  <c r="I310" i="4" s="1"/>
  <c r="H302" i="4"/>
  <c r="I302" i="4" s="1"/>
  <c r="H243" i="4"/>
  <c r="I243" i="4" s="1"/>
  <c r="H221" i="4"/>
  <c r="I221" i="4" s="1"/>
  <c r="H284" i="4"/>
  <c r="H407" i="4"/>
  <c r="H359" i="4"/>
  <c r="H339" i="4"/>
  <c r="I339" i="4" s="1"/>
  <c r="H256" i="4"/>
  <c r="H128" i="4"/>
  <c r="I128" i="4" s="1"/>
  <c r="H379" i="4"/>
  <c r="I379" i="4" s="1"/>
  <c r="H249" i="4"/>
  <c r="H354" i="4"/>
  <c r="H321" i="4"/>
  <c r="H15" i="4"/>
  <c r="H183" i="4"/>
  <c r="I183" i="4" s="1"/>
  <c r="H77" i="4"/>
  <c r="H346" i="4"/>
  <c r="I346" i="4" s="1"/>
  <c r="H425" i="4"/>
  <c r="I425" i="4" s="1"/>
  <c r="H230" i="4"/>
  <c r="I230" i="4" s="1"/>
  <c r="H79" i="4"/>
  <c r="H74" i="4"/>
  <c r="H48" i="4"/>
  <c r="H362" i="4"/>
  <c r="I362" i="4" s="1"/>
  <c r="H27" i="4"/>
  <c r="H214" i="4"/>
  <c r="I214" i="4" s="1"/>
  <c r="H349" i="4"/>
  <c r="I349" i="4" s="1"/>
  <c r="H198" i="4"/>
  <c r="I198" i="4" s="1"/>
  <c r="H355" i="4"/>
  <c r="H236" i="4"/>
  <c r="H247" i="4"/>
  <c r="H179" i="4"/>
  <c r="I179" i="4" s="1"/>
  <c r="H135" i="4"/>
  <c r="I135" i="4" s="1"/>
  <c r="H56" i="4"/>
  <c r="I56" i="4" s="1"/>
  <c r="H242" i="4"/>
  <c r="I242" i="4" s="1"/>
  <c r="H341" i="4"/>
  <c r="I341" i="4" s="1"/>
  <c r="H101" i="4"/>
  <c r="H447" i="4"/>
  <c r="H271" i="4"/>
  <c r="I271" i="4" s="1"/>
  <c r="H399" i="4"/>
  <c r="H152" i="4"/>
  <c r="I152" i="4" s="1"/>
  <c r="H155" i="4"/>
  <c r="I155" i="4" s="1"/>
  <c r="H295" i="4"/>
  <c r="I295" i="4" s="1"/>
  <c r="H287" i="4"/>
  <c r="H442" i="4"/>
  <c r="H397" i="4"/>
  <c r="H52" i="4"/>
  <c r="H195" i="4"/>
  <c r="I195" i="4" s="1"/>
  <c r="H438" i="4"/>
  <c r="H47" i="4"/>
  <c r="I47" i="4" s="1"/>
  <c r="H304" i="4"/>
  <c r="I304" i="4" s="1"/>
  <c r="H280" i="4"/>
  <c r="H220" i="4"/>
  <c r="H28" i="4"/>
  <c r="H406" i="4"/>
  <c r="I406" i="4" s="1"/>
  <c r="H171" i="4"/>
  <c r="I171" i="4" s="1"/>
  <c r="H148" i="4"/>
  <c r="I148" i="4" s="1"/>
  <c r="H413" i="4"/>
  <c r="I413" i="4" s="1"/>
  <c r="H391" i="4"/>
  <c r="I391" i="4" s="1"/>
  <c r="H370" i="4"/>
  <c r="H175" i="4"/>
  <c r="H64" i="4"/>
  <c r="H430" i="4"/>
  <c r="I430" i="4" s="1"/>
  <c r="H133" i="4"/>
  <c r="I133" i="4" s="1"/>
  <c r="H123" i="4"/>
  <c r="H402" i="4"/>
  <c r="I402" i="4" s="1"/>
  <c r="H431" i="4"/>
  <c r="I431" i="4" s="1"/>
  <c r="H389" i="4"/>
  <c r="I389" i="4" s="1"/>
  <c r="H388" i="4"/>
  <c r="H368" i="4"/>
  <c r="H313" i="4"/>
  <c r="I313" i="4" s="1"/>
  <c r="H35" i="4"/>
  <c r="I35" i="4" s="1"/>
  <c r="H73" i="4"/>
  <c r="H20" i="4"/>
  <c r="I20" i="4" s="1"/>
  <c r="H227" i="4"/>
  <c r="I227" i="4" s="1"/>
  <c r="H42" i="4"/>
  <c r="I42" i="4" s="1"/>
  <c r="H184" i="4"/>
  <c r="H209" i="4"/>
  <c r="H404" i="4"/>
  <c r="I404" i="4" s="1"/>
  <c r="H405" i="4"/>
  <c r="H189" i="4"/>
  <c r="I189" i="4" s="1"/>
  <c r="H49" i="4"/>
  <c r="I49" i="4" s="1"/>
  <c r="H96" i="4"/>
  <c r="I96" i="4" s="1"/>
  <c r="H281" i="4"/>
  <c r="H162" i="4"/>
  <c r="H317" i="4"/>
  <c r="H330" i="4"/>
  <c r="I330" i="4" s="1"/>
  <c r="H345" i="4"/>
  <c r="I345" i="4" s="1"/>
  <c r="H365" i="4"/>
  <c r="H82" i="4"/>
  <c r="I82" i="4" s="1"/>
  <c r="H208" i="4"/>
  <c r="I208" i="4" s="1"/>
  <c r="H55" i="4"/>
  <c r="I55" i="4" s="1"/>
  <c r="H104" i="4"/>
  <c r="H446" i="4"/>
  <c r="H40" i="4"/>
  <c r="H445" i="4"/>
  <c r="H109" i="4"/>
  <c r="I109" i="4" s="1"/>
  <c r="H178" i="4"/>
  <c r="I178" i="4" s="1"/>
  <c r="H106" i="4"/>
  <c r="I106" i="4" s="1"/>
  <c r="H91" i="4"/>
  <c r="H292" i="4"/>
  <c r="H203" i="4"/>
  <c r="H357" i="4"/>
  <c r="I357" i="4" s="1"/>
  <c r="H277" i="4"/>
  <c r="I277" i="4" s="1"/>
  <c r="H356" i="4"/>
  <c r="H352" i="4"/>
  <c r="I352" i="4" s="1"/>
  <c r="H337" i="4"/>
  <c r="I337" i="4" s="1"/>
  <c r="H196" i="4"/>
  <c r="I196" i="4" s="1"/>
  <c r="H210" i="4"/>
  <c r="H448" i="4"/>
  <c r="H309" i="4"/>
  <c r="H97" i="4"/>
  <c r="H336" i="4"/>
  <c r="I336" i="4" s="1"/>
  <c r="H234" i="4"/>
  <c r="I234" i="4" s="1"/>
  <c r="H298" i="4"/>
  <c r="I298" i="4" s="1"/>
  <c r="H129" i="4"/>
  <c r="I129" i="4" s="1"/>
  <c r="H360" i="4"/>
  <c r="H131" i="4"/>
  <c r="H4" i="4"/>
  <c r="I4" i="4" s="1"/>
  <c r="H24" i="4"/>
  <c r="I24" i="4" s="1"/>
  <c r="H361" i="4"/>
  <c r="H137" i="4"/>
  <c r="I137" i="4" s="1"/>
  <c r="H306" i="4"/>
  <c r="I306" i="4" s="1"/>
  <c r="H347" i="4"/>
  <c r="I347" i="4" s="1"/>
  <c r="H392" i="4"/>
  <c r="H107" i="4"/>
  <c r="H252" i="4"/>
  <c r="H87" i="4"/>
  <c r="H154" i="4"/>
  <c r="I154" i="4" s="1"/>
  <c r="H367" i="4"/>
  <c r="I367" i="4" s="1"/>
  <c r="H303" i="4"/>
  <c r="I303" i="4" s="1"/>
  <c r="H197" i="4"/>
  <c r="H213" i="4"/>
  <c r="H39" i="4"/>
  <c r="H172" i="4"/>
  <c r="I172" i="4" s="1"/>
  <c r="H238" i="4"/>
  <c r="I238" i="4" s="1"/>
  <c r="H81" i="4"/>
  <c r="H376" i="4"/>
  <c r="I376" i="4" s="1"/>
  <c r="H235" i="4"/>
  <c r="I235" i="4" s="1"/>
  <c r="H299" i="4"/>
  <c r="I299" i="4" s="1"/>
  <c r="H395" i="4"/>
  <c r="H363" i="4"/>
  <c r="H331" i="4"/>
  <c r="I331" i="4" s="1"/>
  <c r="H159" i="4"/>
  <c r="I159" i="4" s="1"/>
  <c r="H114" i="4"/>
  <c r="I114" i="4" s="1"/>
  <c r="H233" i="4"/>
  <c r="I233" i="4" s="1"/>
  <c r="H219" i="4"/>
  <c r="I219" i="4" s="1"/>
  <c r="H21" i="4"/>
  <c r="H401" i="4"/>
  <c r="H372" i="4"/>
  <c r="H373" i="4"/>
  <c r="I373" i="4" s="1"/>
  <c r="H14" i="4"/>
  <c r="I14" i="4" s="1"/>
  <c r="H332" i="4"/>
  <c r="I332" i="4" s="1"/>
  <c r="H325" i="4"/>
  <c r="I325" i="4" s="1"/>
  <c r="H186" i="4"/>
  <c r="I186" i="4" s="1"/>
  <c r="H202" i="4"/>
  <c r="I202" i="4" s="1"/>
  <c r="H59" i="4"/>
  <c r="H205" i="4"/>
  <c r="H181" i="4"/>
  <c r="I181" i="4" s="1"/>
  <c r="H335" i="4"/>
  <c r="H143" i="4"/>
  <c r="H199" i="4"/>
  <c r="I199" i="4" s="1"/>
  <c r="H95" i="4"/>
  <c r="I95" i="4" s="1"/>
  <c r="H12" i="4"/>
  <c r="I12" i="4" s="1"/>
  <c r="H207" i="4"/>
  <c r="H351" i="4"/>
  <c r="H217" i="4"/>
  <c r="I217" i="4" s="1"/>
  <c r="H118" i="4"/>
  <c r="I118" i="4" s="1"/>
  <c r="H146" i="4"/>
  <c r="I146" i="4" s="1"/>
  <c r="H115" i="4"/>
  <c r="I115" i="4" s="1"/>
  <c r="H358" i="4"/>
  <c r="I358" i="4" s="1"/>
  <c r="H222" i="4"/>
  <c r="H204" i="4"/>
  <c r="H7" i="4"/>
  <c r="H259" i="4"/>
  <c r="I259" i="4" s="1"/>
  <c r="H318" i="4"/>
  <c r="I318" i="4" s="1"/>
  <c r="H19" i="4"/>
  <c r="H166" i="4"/>
  <c r="I166" i="4" s="1"/>
  <c r="H328" i="4"/>
  <c r="I328" i="4" s="1"/>
  <c r="H369" i="4"/>
  <c r="I369" i="4" s="1"/>
  <c r="H149" i="4"/>
  <c r="H286" i="4"/>
  <c r="H333" i="4"/>
  <c r="H403" i="4"/>
  <c r="I403" i="4" s="1"/>
  <c r="H108" i="4"/>
  <c r="I108" i="4" s="1"/>
  <c r="H119" i="4"/>
  <c r="I119" i="4" s="1"/>
  <c r="H30" i="4"/>
  <c r="I30" i="4" s="1"/>
  <c r="H293" i="4"/>
  <c r="I293" i="4" s="1"/>
  <c r="H375" i="4"/>
  <c r="H266" i="4"/>
  <c r="H263" i="4"/>
  <c r="H231" i="4"/>
  <c r="I231" i="4" s="1"/>
  <c r="H282" i="4"/>
  <c r="I282" i="4" s="1"/>
  <c r="H248" i="4"/>
  <c r="I248" i="4" s="1"/>
  <c r="H342" i="4"/>
  <c r="I342" i="4" s="1"/>
  <c r="H289" i="4"/>
  <c r="I289" i="4" s="1"/>
  <c r="H423" i="4"/>
  <c r="H122" i="4"/>
  <c r="H215" i="4"/>
  <c r="I215" i="4" s="1"/>
  <c r="H258" i="4"/>
  <c r="I258" i="4" s="1"/>
  <c r="H126" i="4"/>
  <c r="I126" i="4" s="1"/>
  <c r="H50" i="4"/>
  <c r="I50" i="4" s="1"/>
  <c r="H262" i="4"/>
  <c r="I262" i="4" s="1"/>
  <c r="H139" i="4"/>
  <c r="I139" i="4" s="1"/>
  <c r="H334" i="4"/>
  <c r="H371" i="4"/>
  <c r="H8" i="4"/>
  <c r="I8" i="4" s="1"/>
  <c r="H411" i="4"/>
  <c r="I411" i="4" s="1"/>
  <c r="H294" i="4"/>
  <c r="I294" i="4" s="1"/>
  <c r="H157" i="4"/>
  <c r="I157" i="4" s="1"/>
  <c r="H188" i="4"/>
  <c r="I188" i="4" s="1"/>
  <c r="H83" i="4"/>
  <c r="I83" i="4" s="1"/>
  <c r="H29" i="4"/>
  <c r="H444" i="4"/>
  <c r="H255" i="4"/>
  <c r="I255" i="4" s="1"/>
  <c r="H90" i="4"/>
  <c r="I90" i="4" s="1"/>
  <c r="H393" i="4"/>
  <c r="I393" i="4" s="1"/>
  <c r="H308" i="4"/>
  <c r="I308" i="4" s="1"/>
  <c r="H380" i="4"/>
  <c r="I380" i="4" s="1"/>
  <c r="H138" i="4"/>
  <c r="H396" i="4"/>
  <c r="H156" i="4"/>
  <c r="H151" i="4"/>
  <c r="I151" i="4" s="1"/>
  <c r="H343" i="4"/>
  <c r="I343" i="4" s="1"/>
  <c r="H160" i="4"/>
  <c r="I160" i="4" s="1"/>
  <c r="H400" i="4"/>
  <c r="I400" i="4" s="1"/>
  <c r="H211" i="4"/>
  <c r="I211" i="4" s="1"/>
  <c r="H44" i="4"/>
  <c r="I44" i="4" s="1"/>
  <c r="H315" i="4"/>
  <c r="H63" i="4"/>
  <c r="H117" i="4"/>
  <c r="I117" i="4" s="1"/>
  <c r="H417" i="4"/>
  <c r="I417" i="4" s="1"/>
  <c r="H191" i="4"/>
  <c r="I191" i="4" s="1"/>
  <c r="H200" i="4"/>
  <c r="I200" i="4" s="1"/>
  <c r="H66" i="4"/>
  <c r="I66" i="4" s="1"/>
  <c r="H340" i="4"/>
  <c r="I340" i="4" s="1"/>
  <c r="H276" i="4"/>
  <c r="H84" i="4"/>
  <c r="H201" i="4"/>
  <c r="I201" i="4" s="1"/>
  <c r="H182" i="4"/>
  <c r="I182" i="4" s="1"/>
  <c r="H177" i="4"/>
  <c r="I177" i="4" s="1"/>
  <c r="H378" i="4"/>
  <c r="I378" i="4" s="1"/>
  <c r="H427" i="4"/>
  <c r="I427" i="4" s="1"/>
  <c r="H103" i="4"/>
  <c r="I103" i="4" s="1"/>
  <c r="H418" i="4"/>
  <c r="H22" i="4"/>
  <c r="H102" i="4"/>
  <c r="H194" i="4"/>
  <c r="I194" i="4" s="1"/>
  <c r="H144" i="4"/>
  <c r="I144" i="4" s="1"/>
  <c r="I142" i="4"/>
  <c r="I244" i="4"/>
  <c r="I314" i="4"/>
  <c r="I365" i="4"/>
  <c r="I81" i="4"/>
  <c r="I123" i="4"/>
  <c r="I309" i="4"/>
  <c r="E32" i="4"/>
  <c r="E232" i="4"/>
  <c r="E421" i="4"/>
  <c r="F421" i="4" s="1"/>
  <c r="E80" i="4"/>
  <c r="F80" i="4" s="1"/>
  <c r="E111" i="4"/>
  <c r="F111" i="4" s="1"/>
  <c r="E273" i="4"/>
  <c r="F273" i="4" s="1"/>
  <c r="E113" i="4"/>
  <c r="E270" i="4"/>
  <c r="F270" i="4" s="1"/>
  <c r="E13" i="4"/>
  <c r="E6" i="4"/>
  <c r="F6" i="4" s="1"/>
  <c r="E269" i="4"/>
  <c r="F269" i="4" s="1"/>
  <c r="E377" i="4"/>
  <c r="F377" i="4" s="1"/>
  <c r="E134" i="4"/>
  <c r="F134" i="4" s="1"/>
  <c r="E300" i="4"/>
  <c r="F300" i="4" s="1"/>
  <c r="E320" i="4"/>
  <c r="F320" i="4" s="1"/>
  <c r="E324" i="4"/>
  <c r="F324" i="4" s="1"/>
  <c r="E326" i="4"/>
  <c r="E5" i="4"/>
  <c r="E190" i="4"/>
  <c r="F190" i="4" s="1"/>
  <c r="E169" i="4"/>
  <c r="F169" i="4" s="1"/>
  <c r="E435" i="4"/>
  <c r="F435" i="4" s="1"/>
  <c r="E140" i="4"/>
  <c r="F140" i="4" s="1"/>
  <c r="E251" i="4"/>
  <c r="F251" i="4" s="1"/>
  <c r="E408" i="4"/>
  <c r="F408" i="4" s="1"/>
  <c r="E441" i="4"/>
  <c r="E17" i="4"/>
  <c r="F17" i="4" s="1"/>
  <c r="E193" i="4"/>
  <c r="F193" i="4" s="1"/>
  <c r="E239" i="4"/>
  <c r="F239" i="4" s="1"/>
  <c r="E257" i="4"/>
  <c r="F257" i="4" s="1"/>
  <c r="E297" i="4"/>
  <c r="F297" i="4" s="1"/>
  <c r="E18" i="4"/>
  <c r="F18" i="4" s="1"/>
  <c r="E410" i="4"/>
  <c r="F410" i="4" s="1"/>
  <c r="E245" i="4"/>
  <c r="E45" i="4"/>
  <c r="F45" i="4" s="1"/>
  <c r="E60" i="4"/>
  <c r="F60" i="4" s="1"/>
  <c r="E43" i="4"/>
  <c r="F43" i="4" s="1"/>
  <c r="E274" i="4"/>
  <c r="F274" i="4" s="1"/>
  <c r="E398" i="4"/>
  <c r="E436" i="4"/>
  <c r="F436" i="4" s="1"/>
  <c r="E291" i="4"/>
  <c r="F291" i="4" s="1"/>
  <c r="E374" i="4"/>
  <c r="E88" i="4"/>
  <c r="F88" i="4" s="1"/>
  <c r="E429" i="4"/>
  <c r="F429" i="4" s="1"/>
  <c r="E26" i="4"/>
  <c r="F26" i="4" s="1"/>
  <c r="E307" i="4"/>
  <c r="F307" i="4" s="1"/>
  <c r="E437" i="4"/>
  <c r="F437" i="4" s="1"/>
  <c r="E443" i="4"/>
  <c r="F443" i="4" s="1"/>
  <c r="E434" i="4"/>
  <c r="F434" i="4" s="1"/>
  <c r="E212" i="4"/>
  <c r="E344" i="4"/>
  <c r="F344" i="4" s="1"/>
  <c r="E267" i="4"/>
  <c r="F267" i="4" s="1"/>
  <c r="E85" i="4"/>
  <c r="F85" i="4" s="1"/>
  <c r="E419" i="4"/>
  <c r="F419" i="4" s="1"/>
  <c r="E31" i="4"/>
  <c r="F31" i="4" s="1"/>
  <c r="E176" i="4"/>
  <c r="F176" i="4" s="1"/>
  <c r="E268" i="4"/>
  <c r="F268" i="4" s="1"/>
  <c r="E386" i="4"/>
  <c r="E420" i="4"/>
  <c r="E265" i="4"/>
  <c r="F265" i="4" s="1"/>
  <c r="E432" i="4"/>
  <c r="F432" i="4" s="1"/>
  <c r="E440" i="4"/>
  <c r="F440" i="4" s="1"/>
  <c r="E127" i="4"/>
  <c r="E287" i="4"/>
  <c r="F287" i="4" s="1"/>
  <c r="E236" i="4"/>
  <c r="F236" i="4" s="1"/>
  <c r="E301" i="4"/>
  <c r="E272" i="4"/>
  <c r="F272" i="4" s="1"/>
  <c r="E381" i="4"/>
  <c r="F381" i="4" s="1"/>
  <c r="E38" i="4"/>
  <c r="F38" i="4" s="1"/>
  <c r="E223" i="4"/>
  <c r="F223" i="4" s="1"/>
  <c r="E98" i="4"/>
  <c r="F98" i="4" s="1"/>
  <c r="E279" i="4"/>
  <c r="F279" i="4" s="1"/>
  <c r="E316" i="4"/>
  <c r="F316" i="4" s="1"/>
  <c r="E264" i="4"/>
  <c r="E327" i="4"/>
  <c r="F327" i="4" s="1"/>
  <c r="E407" i="4"/>
  <c r="F407" i="4" s="1"/>
  <c r="E72" i="4"/>
  <c r="F72" i="4" s="1"/>
  <c r="E141" i="4"/>
  <c r="F141" i="4" s="1"/>
  <c r="E180" i="4"/>
  <c r="F180" i="4" s="1"/>
  <c r="E150" i="4"/>
  <c r="E260" i="4"/>
  <c r="F260" i="4" s="1"/>
  <c r="E413" i="4"/>
  <c r="E164" i="4"/>
  <c r="F164" i="4" s="1"/>
  <c r="E368" i="4"/>
  <c r="F368" i="4" s="1"/>
  <c r="E406" i="4"/>
  <c r="F406" i="4" s="1"/>
  <c r="E439" i="4"/>
  <c r="F439" i="4" s="1"/>
  <c r="E65" i="4"/>
  <c r="F65" i="4" s="1"/>
  <c r="E147" i="4"/>
  <c r="F147" i="4" s="1"/>
  <c r="E187" i="4"/>
  <c r="F187" i="4" s="1"/>
  <c r="E253" i="4"/>
  <c r="F253" i="4" s="1"/>
  <c r="E278" i="4"/>
  <c r="F278" i="4" s="1"/>
  <c r="E424" i="4"/>
  <c r="F424" i="4" s="1"/>
  <c r="E120" i="4"/>
  <c r="F120" i="4" s="1"/>
  <c r="E125" i="4"/>
  <c r="F125" i="4" s="1"/>
  <c r="E23" i="4"/>
  <c r="F23" i="4" s="1"/>
  <c r="E244" i="4"/>
  <c r="F244" i="4" s="1"/>
  <c r="E3" i="4"/>
  <c r="F3" i="4" s="1"/>
  <c r="E36" i="4"/>
  <c r="E37" i="4"/>
  <c r="E425" i="4"/>
  <c r="F425" i="4" s="1"/>
  <c r="E319" i="4"/>
  <c r="F319" i="4" s="1"/>
  <c r="E105" i="4"/>
  <c r="F105" i="4" s="1"/>
  <c r="E224" i="4"/>
  <c r="E382" i="4"/>
  <c r="F382" i="4" s="1"/>
  <c r="E69" i="4"/>
  <c r="F69" i="4" s="1"/>
  <c r="E153" i="4"/>
  <c r="E414" i="4"/>
  <c r="F414" i="4" s="1"/>
  <c r="E230" i="4"/>
  <c r="F230" i="4" s="1"/>
  <c r="E68" i="4"/>
  <c r="F68" i="4" s="1"/>
  <c r="E426" i="4"/>
  <c r="F426" i="4" s="1"/>
  <c r="E225" i="4"/>
  <c r="F225" i="4" s="1"/>
  <c r="E275" i="4"/>
  <c r="F275" i="4" s="1"/>
  <c r="E447" i="4"/>
  <c r="F447" i="4" s="1"/>
  <c r="E158" i="4"/>
  <c r="E165" i="4"/>
  <c r="E379" i="4"/>
  <c r="F379" i="4" s="1"/>
  <c r="E285" i="4"/>
  <c r="F285" i="4" s="1"/>
  <c r="E416" i="4"/>
  <c r="F416" i="4" s="1"/>
  <c r="E359" i="4"/>
  <c r="F359" i="4" s="1"/>
  <c r="E67" i="4"/>
  <c r="F67" i="4" s="1"/>
  <c r="E322" i="4"/>
  <c r="F322" i="4" s="1"/>
  <c r="E366" i="4"/>
  <c r="F366" i="4" s="1"/>
  <c r="E163" i="4"/>
  <c r="F163" i="4" s="1"/>
  <c r="E402" i="4"/>
  <c r="F402" i="4" s="1"/>
  <c r="E404" i="4"/>
  <c r="F404" i="4" s="1"/>
  <c r="E283" i="4"/>
  <c r="F283" i="4" s="1"/>
  <c r="E422" i="4"/>
  <c r="E438" i="4"/>
  <c r="F438" i="4" s="1"/>
  <c r="E92" i="4"/>
  <c r="F92" i="4" s="1"/>
  <c r="E112" i="4"/>
  <c r="E302" i="4"/>
  <c r="F302" i="4" s="1"/>
  <c r="E51" i="4"/>
  <c r="F51" i="4" s="1"/>
  <c r="E354" i="4"/>
  <c r="F354" i="4" s="1"/>
  <c r="E384" i="4"/>
  <c r="F384" i="4" s="1"/>
  <c r="E71" i="4"/>
  <c r="F71" i="4" s="1"/>
  <c r="E97" i="4"/>
  <c r="F97" i="4" s="1"/>
  <c r="E214" i="4"/>
  <c r="F214" i="4" s="1"/>
  <c r="E288" i="4"/>
  <c r="E256" i="4"/>
  <c r="F256" i="4" s="1"/>
  <c r="E312" i="4"/>
  <c r="F312" i="4" s="1"/>
  <c r="E33" i="4"/>
  <c r="F33" i="4" s="1"/>
  <c r="E317" i="4"/>
  <c r="F317" i="4" s="1"/>
  <c r="E27" i="4"/>
  <c r="E261" i="4"/>
  <c r="F261" i="4" s="1"/>
  <c r="E100" i="4"/>
  <c r="F100" i="4" s="1"/>
  <c r="E292" i="4"/>
  <c r="E313" i="4"/>
  <c r="F313" i="4" s="1"/>
  <c r="E77" i="4"/>
  <c r="F77" i="4" s="1"/>
  <c r="E415" i="4"/>
  <c r="F415" i="4" s="1"/>
  <c r="E11" i="4"/>
  <c r="F11" i="4" s="1"/>
  <c r="E76" i="4"/>
  <c r="E385" i="4"/>
  <c r="F385" i="4" s="1"/>
  <c r="E290" i="4"/>
  <c r="F290" i="4" s="1"/>
  <c r="E155" i="4"/>
  <c r="F155" i="4" s="1"/>
  <c r="E364" i="4"/>
  <c r="F364" i="4" s="1"/>
  <c r="E220" i="4"/>
  <c r="F220" i="4" s="1"/>
  <c r="E348" i="4"/>
  <c r="F348" i="4" s="1"/>
  <c r="E40" i="4"/>
  <c r="F40" i="4" s="1"/>
  <c r="E130" i="4"/>
  <c r="F130" i="4" s="1"/>
  <c r="E167" i="4"/>
  <c r="F167" i="4" s="1"/>
  <c r="E346" i="4"/>
  <c r="F346" i="4" s="1"/>
  <c r="E54" i="4"/>
  <c r="E353" i="4"/>
  <c r="F353" i="4" s="1"/>
  <c r="E28" i="4"/>
  <c r="F28" i="4" s="1"/>
  <c r="E183" i="4"/>
  <c r="F183" i="4" s="1"/>
  <c r="E41" i="4"/>
  <c r="F41" i="4" s="1"/>
  <c r="E42" i="4"/>
  <c r="F42" i="4" s="1"/>
  <c r="E132" i="4"/>
  <c r="E145" i="4"/>
  <c r="F145" i="4" s="1"/>
  <c r="E206" i="4"/>
  <c r="E174" i="4"/>
  <c r="F174" i="4" s="1"/>
  <c r="E226" i="4"/>
  <c r="F226" i="4" s="1"/>
  <c r="E321" i="4"/>
  <c r="F321" i="4" s="1"/>
  <c r="E339" i="4"/>
  <c r="F339" i="4" s="1"/>
  <c r="E161" i="4"/>
  <c r="F161" i="4" s="1"/>
  <c r="E442" i="4"/>
  <c r="F442" i="4" s="1"/>
  <c r="E74" i="4"/>
  <c r="F74" i="4" s="1"/>
  <c r="E110" i="4"/>
  <c r="E218" i="4"/>
  <c r="F218" i="4" s="1"/>
  <c r="E349" i="4"/>
  <c r="F349" i="4" s="1"/>
  <c r="E412" i="4"/>
  <c r="F412" i="4" s="1"/>
  <c r="E121" i="4"/>
  <c r="F121" i="4" s="1"/>
  <c r="E314" i="4"/>
  <c r="E329" i="4"/>
  <c r="F329" i="4" s="1"/>
  <c r="E57" i="4"/>
  <c r="F57" i="4" s="1"/>
  <c r="E34" i="4"/>
  <c r="E123" i="4"/>
  <c r="F123" i="4" s="1"/>
  <c r="E241" i="4"/>
  <c r="F241" i="4" s="1"/>
  <c r="E271" i="4"/>
  <c r="F271" i="4" s="1"/>
  <c r="E185" i="4"/>
  <c r="F185" i="4" s="1"/>
  <c r="E310" i="4"/>
  <c r="F310" i="4" s="1"/>
  <c r="E229" i="4"/>
  <c r="F229" i="4" s="1"/>
  <c r="E356" i="4"/>
  <c r="F356" i="4" s="1"/>
  <c r="E370" i="4"/>
  <c r="F370" i="4" s="1"/>
  <c r="E249" i="4"/>
  <c r="F249" i="4" s="1"/>
  <c r="E365" i="4"/>
  <c r="F365" i="4" s="1"/>
  <c r="E192" i="4"/>
  <c r="F192" i="4" s="1"/>
  <c r="E168" i="4"/>
  <c r="F168" i="4" s="1"/>
  <c r="E106" i="4"/>
  <c r="F106" i="4" s="1"/>
  <c r="E228" i="4"/>
  <c r="F228" i="4" s="1"/>
  <c r="E116" i="4"/>
  <c r="F116" i="4" s="1"/>
  <c r="E355" i="4"/>
  <c r="E86" i="4"/>
  <c r="E170" i="4"/>
  <c r="E338" i="4"/>
  <c r="F338" i="4" s="1"/>
  <c r="E75" i="4"/>
  <c r="F75" i="4" s="1"/>
  <c r="E311" i="4"/>
  <c r="F311" i="4" s="1"/>
  <c r="E330" i="4"/>
  <c r="F330" i="4" s="1"/>
  <c r="E142" i="4"/>
  <c r="F142" i="4" s="1"/>
  <c r="E64" i="4"/>
  <c r="E333" i="4"/>
  <c r="F333" i="4" s="1"/>
  <c r="E281" i="4"/>
  <c r="F281" i="4" s="1"/>
  <c r="E409" i="4"/>
  <c r="F409" i="4" s="1"/>
  <c r="E79" i="4"/>
  <c r="F79" i="4" s="1"/>
  <c r="E52" i="4"/>
  <c r="F52" i="4" s="1"/>
  <c r="E405" i="4"/>
  <c r="F405" i="4" s="1"/>
  <c r="E433" i="4"/>
  <c r="F433" i="4" s="1"/>
  <c r="E78" i="4"/>
  <c r="F78" i="4" s="1"/>
  <c r="E93" i="4"/>
  <c r="E195" i="4"/>
  <c r="F195" i="4" s="1"/>
  <c r="E246" i="4"/>
  <c r="F246" i="4" s="1"/>
  <c r="E254" i="4"/>
  <c r="F254" i="4" s="1"/>
  <c r="E295" i="4"/>
  <c r="F295" i="4" s="1"/>
  <c r="E298" i="4"/>
  <c r="F298" i="4" s="1"/>
  <c r="E91" i="4"/>
  <c r="F91" i="4" s="1"/>
  <c r="E388" i="4"/>
  <c r="E390" i="4"/>
  <c r="F390" i="4" s="1"/>
  <c r="E128" i="4"/>
  <c r="F128" i="4" s="1"/>
  <c r="E243" i="4"/>
  <c r="F243" i="4" s="1"/>
  <c r="E178" i="4"/>
  <c r="F178" i="4" s="1"/>
  <c r="E9" i="4"/>
  <c r="F9" i="4" s="1"/>
  <c r="E152" i="4"/>
  <c r="F152" i="4" s="1"/>
  <c r="E306" i="4"/>
  <c r="F306" i="4" s="1"/>
  <c r="E399" i="4"/>
  <c r="F399" i="4" s="1"/>
  <c r="E389" i="4"/>
  <c r="E221" i="4"/>
  <c r="F221" i="4" s="1"/>
  <c r="E175" i="4"/>
  <c r="F175" i="4" s="1"/>
  <c r="E362" i="4"/>
  <c r="F362" i="4" s="1"/>
  <c r="E114" i="4"/>
  <c r="F114" i="4" s="1"/>
  <c r="E247" i="4"/>
  <c r="F247" i="4" s="1"/>
  <c r="E387" i="4"/>
  <c r="F387" i="4" s="1"/>
  <c r="E392" i="4"/>
  <c r="E337" i="4"/>
  <c r="F337" i="4" s="1"/>
  <c r="E284" i="4"/>
  <c r="F284" i="4" s="1"/>
  <c r="E367" i="4"/>
  <c r="F367" i="4" s="1"/>
  <c r="E323" i="4"/>
  <c r="F323" i="4" s="1"/>
  <c r="E209" i="4"/>
  <c r="F209" i="4" s="1"/>
  <c r="E107" i="4"/>
  <c r="E203" i="4"/>
  <c r="F203" i="4" s="1"/>
  <c r="E199" i="4"/>
  <c r="E4" i="4"/>
  <c r="F4" i="4" s="1"/>
  <c r="E56" i="4"/>
  <c r="F56" i="4" s="1"/>
  <c r="E129" i="4"/>
  <c r="F129" i="4" s="1"/>
  <c r="E70" i="4"/>
  <c r="F70" i="4" s="1"/>
  <c r="E73" i="4"/>
  <c r="F73" i="4" s="1"/>
  <c r="E39" i="4"/>
  <c r="F39" i="4" s="1"/>
  <c r="E373" i="4"/>
  <c r="F373" i="4" s="1"/>
  <c r="E397" i="4"/>
  <c r="F397" i="4" s="1"/>
  <c r="E173" i="4"/>
  <c r="F173" i="4" s="1"/>
  <c r="E277" i="4"/>
  <c r="F277" i="4" s="1"/>
  <c r="E430" i="4"/>
  <c r="F430" i="4" s="1"/>
  <c r="E196" i="4"/>
  <c r="F196" i="4" s="1"/>
  <c r="E304" i="4"/>
  <c r="F304" i="4" s="1"/>
  <c r="E171" i="4"/>
  <c r="F171" i="4" s="1"/>
  <c r="E24" i="4"/>
  <c r="F24" i="4" s="1"/>
  <c r="E82" i="4"/>
  <c r="E428" i="4"/>
  <c r="F428" i="4" s="1"/>
  <c r="E210" i="4"/>
  <c r="F210" i="4" s="1"/>
  <c r="E350" i="4"/>
  <c r="F350" i="4" s="1"/>
  <c r="E189" i="4"/>
  <c r="F189" i="4" s="1"/>
  <c r="E252" i="4"/>
  <c r="F252" i="4" s="1"/>
  <c r="E336" i="4"/>
  <c r="E133" i="4"/>
  <c r="F133" i="4" s="1"/>
  <c r="E148" i="4"/>
  <c r="F148" i="4" s="1"/>
  <c r="E104" i="4"/>
  <c r="F104" i="4" s="1"/>
  <c r="E360" i="4"/>
  <c r="F360" i="4" s="1"/>
  <c r="E208" i="4"/>
  <c r="F208" i="4" s="1"/>
  <c r="E136" i="4"/>
  <c r="F136" i="4" s="1"/>
  <c r="E395" i="4"/>
  <c r="F395" i="4" s="1"/>
  <c r="E101" i="4"/>
  <c r="F101" i="4" s="1"/>
  <c r="E49" i="4"/>
  <c r="F49" i="4" s="1"/>
  <c r="E62" i="4"/>
  <c r="F62" i="4" s="1"/>
  <c r="E242" i="4"/>
  <c r="F242" i="4" s="1"/>
  <c r="E162" i="4"/>
  <c r="F162" i="4" s="1"/>
  <c r="E131" i="4"/>
  <c r="F131" i="4" s="1"/>
  <c r="E179" i="4"/>
  <c r="F179" i="4" s="1"/>
  <c r="E309" i="4"/>
  <c r="F309" i="4" s="1"/>
  <c r="E15" i="4"/>
  <c r="F15" i="4" s="1"/>
  <c r="E96" i="4"/>
  <c r="F96" i="4" s="1"/>
  <c r="E135" i="4"/>
  <c r="E280" i="4"/>
  <c r="F280" i="4" s="1"/>
  <c r="E357" i="4"/>
  <c r="F357" i="4" s="1"/>
  <c r="E361" i="4"/>
  <c r="F361" i="4" s="1"/>
  <c r="E99" i="4"/>
  <c r="F99" i="4" s="1"/>
  <c r="E227" i="4"/>
  <c r="F227" i="4" s="1"/>
  <c r="E423" i="4"/>
  <c r="F423" i="4" s="1"/>
  <c r="E48" i="4"/>
  <c r="F48" i="4" s="1"/>
  <c r="E341" i="4"/>
  <c r="F341" i="4" s="1"/>
  <c r="E446" i="4"/>
  <c r="F446" i="4" s="1"/>
  <c r="E137" i="4"/>
  <c r="F137" i="4" s="1"/>
  <c r="E331" i="4"/>
  <c r="F331" i="4" s="1"/>
  <c r="E21" i="4"/>
  <c r="F21" i="4" s="1"/>
  <c r="E431" i="4"/>
  <c r="F431" i="4" s="1"/>
  <c r="E53" i="4"/>
  <c r="F53" i="4" s="1"/>
  <c r="E55" i="4"/>
  <c r="F55" i="4" s="1"/>
  <c r="E219" i="4"/>
  <c r="E363" i="4"/>
  <c r="F363" i="4" s="1"/>
  <c r="E401" i="4"/>
  <c r="F401" i="4" s="1"/>
  <c r="E445" i="4"/>
  <c r="F445" i="4" s="1"/>
  <c r="E266" i="4"/>
  <c r="F266" i="4" s="1"/>
  <c r="E325" i="4"/>
  <c r="F325" i="4" s="1"/>
  <c r="E303" i="4"/>
  <c r="F303" i="4" s="1"/>
  <c r="E166" i="4"/>
  <c r="F166" i="4" s="1"/>
  <c r="E235" i="4"/>
  <c r="E94" i="4"/>
  <c r="E95" i="4"/>
  <c r="F95" i="4" s="1"/>
  <c r="E391" i="4"/>
  <c r="F391" i="4" s="1"/>
  <c r="E10" i="4"/>
  <c r="F10" i="4" s="1"/>
  <c r="E216" i="4"/>
  <c r="F216" i="4" s="1"/>
  <c r="E217" i="4"/>
  <c r="E403" i="4"/>
  <c r="F403" i="4" s="1"/>
  <c r="E159" i="4"/>
  <c r="F159" i="4" s="1"/>
  <c r="E347" i="4"/>
  <c r="E58" i="4"/>
  <c r="F58" i="4" s="1"/>
  <c r="E345" i="4"/>
  <c r="F345" i="4" s="1"/>
  <c r="E8" i="4"/>
  <c r="F8" i="4" s="1"/>
  <c r="E372" i="4"/>
  <c r="F372" i="4" s="1"/>
  <c r="E198" i="4"/>
  <c r="F198" i="4" s="1"/>
  <c r="E448" i="4"/>
  <c r="F448" i="4" s="1"/>
  <c r="E59" i="4"/>
  <c r="E299" i="4"/>
  <c r="E124" i="4"/>
  <c r="F124" i="4" s="1"/>
  <c r="E47" i="4"/>
  <c r="F47" i="4" s="1"/>
  <c r="E89" i="4"/>
  <c r="F89" i="4" s="1"/>
  <c r="E184" i="4"/>
  <c r="F184" i="4" s="1"/>
  <c r="E233" i="4"/>
  <c r="F233" i="4" s="1"/>
  <c r="E202" i="4"/>
  <c r="F202" i="4" s="1"/>
  <c r="E305" i="4"/>
  <c r="E375" i="4"/>
  <c r="F375" i="4" s="1"/>
  <c r="E35" i="4"/>
  <c r="F35" i="4" s="1"/>
  <c r="E143" i="4"/>
  <c r="F143" i="4" s="1"/>
  <c r="E61" i="4"/>
  <c r="F61" i="4" s="1"/>
  <c r="E234" i="4"/>
  <c r="F234" i="4" s="1"/>
  <c r="E20" i="4"/>
  <c r="F20" i="4" s="1"/>
  <c r="E296" i="4"/>
  <c r="F296" i="4" s="1"/>
  <c r="E146" i="4"/>
  <c r="F146" i="4" s="1"/>
  <c r="E250" i="4"/>
  <c r="E263" i="4"/>
  <c r="F263" i="4" s="1"/>
  <c r="E352" i="4"/>
  <c r="F352" i="4" s="1"/>
  <c r="E197" i="4"/>
  <c r="F197" i="4" s="1"/>
  <c r="E122" i="4"/>
  <c r="F122" i="4" s="1"/>
  <c r="E19" i="4"/>
  <c r="F19" i="4" s="1"/>
  <c r="E237" i="4"/>
  <c r="F237" i="4" s="1"/>
  <c r="E222" i="4"/>
  <c r="F222" i="4" s="1"/>
  <c r="E12" i="4"/>
  <c r="F12" i="4" s="1"/>
  <c r="E118" i="4"/>
  <c r="F118" i="4" s="1"/>
  <c r="E207" i="4"/>
  <c r="F207" i="4" s="1"/>
  <c r="E204" i="4"/>
  <c r="F204" i="4" s="1"/>
  <c r="E351" i="4"/>
  <c r="F351" i="4" s="1"/>
  <c r="E318" i="4"/>
  <c r="F318" i="4" s="1"/>
  <c r="E115" i="4"/>
  <c r="F115" i="4" s="1"/>
  <c r="E358" i="4"/>
  <c r="F358" i="4" s="1"/>
  <c r="E29" i="4"/>
  <c r="E294" i="4"/>
  <c r="F294" i="4" s="1"/>
  <c r="E369" i="4"/>
  <c r="F369" i="4" s="1"/>
  <c r="E248" i="4"/>
  <c r="F248" i="4" s="1"/>
  <c r="E109" i="4"/>
  <c r="F109" i="4" s="1"/>
  <c r="E149" i="4"/>
  <c r="F149" i="4" s="1"/>
  <c r="E139" i="4"/>
  <c r="F139" i="4" s="1"/>
  <c r="E7" i="4"/>
  <c r="F7" i="4" s="1"/>
  <c r="E181" i="4"/>
  <c r="E30" i="4"/>
  <c r="F30" i="4" s="1"/>
  <c r="E335" i="4"/>
  <c r="F335" i="4" s="1"/>
  <c r="E119" i="4"/>
  <c r="F119" i="4" s="1"/>
  <c r="E213" i="4"/>
  <c r="F213" i="4" s="1"/>
  <c r="E342" i="4"/>
  <c r="F342" i="4" s="1"/>
  <c r="E154" i="4"/>
  <c r="F154" i="4" s="1"/>
  <c r="E238" i="4"/>
  <c r="F238" i="4" s="1"/>
  <c r="E46" i="4"/>
  <c r="F46" i="4" s="1"/>
  <c r="E328" i="4"/>
  <c r="F328" i="4" s="1"/>
  <c r="E394" i="4"/>
  <c r="F394" i="4" s="1"/>
  <c r="E25" i="4"/>
  <c r="F25" i="4" s="1"/>
  <c r="E286" i="4"/>
  <c r="F286" i="4" s="1"/>
  <c r="E258" i="4"/>
  <c r="F258" i="4" s="1"/>
  <c r="E81" i="4"/>
  <c r="F81" i="4" s="1"/>
  <c r="E376" i="4"/>
  <c r="E108" i="4"/>
  <c r="E172" i="4"/>
  <c r="F172" i="4" s="1"/>
  <c r="E50" i="4"/>
  <c r="F50" i="4" s="1"/>
  <c r="E383" i="4"/>
  <c r="F383" i="4" s="1"/>
  <c r="E126" i="4"/>
  <c r="F126" i="4" s="1"/>
  <c r="E259" i="4"/>
  <c r="F259" i="4" s="1"/>
  <c r="E83" i="4"/>
  <c r="F83" i="4" s="1"/>
  <c r="E16" i="4"/>
  <c r="E205" i="4"/>
  <c r="F205" i="4" s="1"/>
  <c r="E231" i="4"/>
  <c r="F231" i="4" s="1"/>
  <c r="E262" i="4"/>
  <c r="F262" i="4" s="1"/>
  <c r="E444" i="4"/>
  <c r="E188" i="4"/>
  <c r="F188" i="4" s="1"/>
  <c r="E87" i="4"/>
  <c r="F87" i="4" s="1"/>
  <c r="E186" i="4"/>
  <c r="F186" i="4" s="1"/>
  <c r="E14" i="4"/>
  <c r="F14" i="4" s="1"/>
  <c r="E400" i="4"/>
  <c r="F400" i="4" s="1"/>
  <c r="E396" i="4"/>
  <c r="F396" i="4" s="1"/>
  <c r="E90" i="4"/>
  <c r="F90" i="4" s="1"/>
  <c r="E308" i="4"/>
  <c r="F308" i="4" s="1"/>
  <c r="E380" i="4"/>
  <c r="F380" i="4" s="1"/>
  <c r="E157" i="4"/>
  <c r="E282" i="4"/>
  <c r="F282" i="4" s="1"/>
  <c r="E332" i="4"/>
  <c r="F332" i="4" s="1"/>
  <c r="E371" i="4"/>
  <c r="F371" i="4" s="1"/>
  <c r="E160" i="4"/>
  <c r="F160" i="4" s="1"/>
  <c r="E138" i="4"/>
  <c r="F138" i="4" s="1"/>
  <c r="E293" i="4"/>
  <c r="F293" i="4" s="1"/>
  <c r="E211" i="4"/>
  <c r="F211" i="4" s="1"/>
  <c r="E289" i="4"/>
  <c r="F289" i="4" s="1"/>
  <c r="E191" i="4"/>
  <c r="F191" i="4" s="1"/>
  <c r="E411" i="4"/>
  <c r="F411" i="4" s="1"/>
  <c r="E66" i="4"/>
  <c r="F66" i="4" s="1"/>
  <c r="E276" i="4"/>
  <c r="F276" i="4" s="1"/>
  <c r="E182" i="4"/>
  <c r="F182" i="4" s="1"/>
  <c r="E201" i="4"/>
  <c r="F201" i="4" s="1"/>
  <c r="E177" i="4"/>
  <c r="F177" i="4" s="1"/>
  <c r="E255" i="4"/>
  <c r="F255" i="4" s="1"/>
  <c r="E340" i="4"/>
  <c r="F340" i="4" s="1"/>
  <c r="E334" i="4"/>
  <c r="F334" i="4" s="1"/>
  <c r="E215" i="4"/>
  <c r="F215" i="4" s="1"/>
  <c r="E240" i="4"/>
  <c r="F240" i="4" s="1"/>
  <c r="E315" i="4"/>
  <c r="F315" i="4" s="1"/>
  <c r="E103" i="4"/>
  <c r="F103" i="4" s="1"/>
  <c r="E84" i="4"/>
  <c r="F84" i="4" s="1"/>
  <c r="E156" i="4"/>
  <c r="F156" i="4" s="1"/>
  <c r="E417" i="4"/>
  <c r="F417" i="4" s="1"/>
  <c r="E343" i="4"/>
  <c r="E22" i="4"/>
  <c r="F22" i="4" s="1"/>
  <c r="E393" i="4"/>
  <c r="F393" i="4" s="1"/>
  <c r="E44" i="4"/>
  <c r="F44" i="4" s="1"/>
  <c r="E194" i="4"/>
  <c r="F194" i="4" s="1"/>
  <c r="E151" i="4"/>
  <c r="F151" i="4" s="1"/>
  <c r="E63" i="4"/>
  <c r="F63" i="4" s="1"/>
  <c r="E427" i="4"/>
  <c r="F427" i="4" s="1"/>
  <c r="E102" i="4"/>
  <c r="E144" i="4"/>
  <c r="F144" i="4" s="1"/>
  <c r="E200" i="4"/>
  <c r="F200" i="4" s="1"/>
  <c r="E117" i="4"/>
  <c r="F117" i="4" s="1"/>
  <c r="E378" i="4"/>
  <c r="F378" i="4" s="1"/>
  <c r="E418" i="4"/>
  <c r="F418" i="4" s="1"/>
  <c r="F113" i="4"/>
  <c r="F150" i="4"/>
  <c r="F132" i="4"/>
  <c r="F314" i="4"/>
  <c r="F107" i="4"/>
  <c r="F217" i="4"/>
  <c r="F444" i="4"/>
  <c r="F157" i="4"/>
  <c r="F398" i="4"/>
  <c r="F127" i="4"/>
  <c r="F422" i="4"/>
  <c r="F27" i="4"/>
  <c r="F224" i="4"/>
  <c r="F232" i="4"/>
  <c r="F336" i="4"/>
  <c r="F13" i="4"/>
  <c r="F441" i="4"/>
  <c r="F245" i="4"/>
  <c r="F301" i="4"/>
  <c r="F264" i="4"/>
  <c r="F153" i="4"/>
  <c r="F112" i="4"/>
  <c r="F292" i="4"/>
  <c r="F206" i="4"/>
  <c r="F110" i="4"/>
  <c r="F34" i="4"/>
  <c r="F355" i="4"/>
  <c r="F388" i="4"/>
  <c r="F392" i="4"/>
  <c r="F199" i="4"/>
  <c r="F135" i="4"/>
  <c r="F219" i="4"/>
  <c r="F235" i="4"/>
  <c r="F305" i="4"/>
  <c r="F376" i="4"/>
  <c r="F343" i="4"/>
  <c r="F102" i="4"/>
  <c r="F326" i="4"/>
  <c r="F374" i="4"/>
  <c r="F386" i="4"/>
  <c r="F158" i="4"/>
  <c r="F288" i="4"/>
  <c r="F16" i="4"/>
  <c r="F108" i="4"/>
  <c r="G81" i="2"/>
  <c r="G51" i="2"/>
  <c r="G62" i="2"/>
  <c r="G67" i="2"/>
  <c r="G45" i="2"/>
  <c r="G68" i="2"/>
  <c r="G61" i="2"/>
  <c r="G63" i="2"/>
  <c r="G92" i="2"/>
  <c r="G44" i="2"/>
  <c r="G38" i="2"/>
  <c r="G40" i="2"/>
  <c r="G18" i="2"/>
  <c r="G70" i="2"/>
  <c r="G23" i="2"/>
  <c r="G8" i="2"/>
  <c r="G11" i="2"/>
  <c r="G89" i="2"/>
  <c r="G100" i="2"/>
  <c r="G21" i="2"/>
  <c r="G98" i="2"/>
  <c r="G27" i="2"/>
  <c r="G102" i="2"/>
  <c r="G3" i="2"/>
  <c r="G9" i="2"/>
  <c r="G58" i="2"/>
  <c r="G72" i="2"/>
  <c r="G12" i="2"/>
  <c r="G86" i="2"/>
  <c r="G35" i="2"/>
  <c r="G80" i="2"/>
  <c r="G42" i="2"/>
  <c r="G83" i="2"/>
  <c r="G32" i="2"/>
  <c r="G24" i="2"/>
  <c r="G47" i="2"/>
  <c r="G73" i="2"/>
  <c r="G57" i="2"/>
  <c r="G5" i="2"/>
  <c r="F165" i="4"/>
  <c r="F170" i="4"/>
  <c r="F212" i="4"/>
  <c r="F299" i="4"/>
  <c r="F250" i="4"/>
  <c r="F347" i="4"/>
  <c r="F389" i="4"/>
  <c r="F413" i="4"/>
  <c r="F420" i="4"/>
  <c r="F181" i="4"/>
  <c r="I104" i="4"/>
  <c r="I107" i="4"/>
  <c r="I111" i="4"/>
  <c r="I113" i="4"/>
  <c r="I120" i="4"/>
  <c r="I121" i="4"/>
  <c r="I122" i="4"/>
  <c r="I127" i="4"/>
  <c r="I130" i="4"/>
  <c r="I131" i="4"/>
  <c r="I136" i="4"/>
  <c r="I138" i="4"/>
  <c r="I143" i="4"/>
  <c r="I147" i="4"/>
  <c r="I149" i="4"/>
  <c r="I153" i="4"/>
  <c r="I156" i="4"/>
  <c r="I161" i="4"/>
  <c r="I162" i="4"/>
  <c r="I165" i="4"/>
  <c r="I175" i="4"/>
  <c r="I184" i="4"/>
  <c r="I187" i="4"/>
  <c r="I197" i="4"/>
  <c r="I203" i="4"/>
  <c r="I204" i="4"/>
  <c r="I205" i="4"/>
  <c r="I207" i="4"/>
  <c r="I209" i="4"/>
  <c r="I210" i="4"/>
  <c r="I213" i="4"/>
  <c r="I216" i="4"/>
  <c r="I265" i="4"/>
  <c r="I266" i="4"/>
  <c r="I267" i="4"/>
  <c r="I269" i="4"/>
  <c r="I270" i="4"/>
  <c r="I272" i="4"/>
  <c r="I220" i="4"/>
  <c r="I273" i="4"/>
  <c r="I275" i="4"/>
  <c r="I276" i="4"/>
  <c r="I222" i="4"/>
  <c r="I226" i="4"/>
  <c r="I278" i="4"/>
  <c r="I228" i="4"/>
  <c r="I280" i="4"/>
  <c r="I281" i="4"/>
  <c r="I283" i="4"/>
  <c r="I284" i="4"/>
  <c r="I232" i="4"/>
  <c r="I286" i="4"/>
  <c r="I287" i="4"/>
  <c r="I291" i="4"/>
  <c r="I236" i="4"/>
  <c r="I292" i="4"/>
  <c r="I237" i="4"/>
  <c r="I296" i="4"/>
  <c r="I240" i="4"/>
  <c r="I241" i="4"/>
  <c r="I297" i="4"/>
  <c r="I300" i="4"/>
  <c r="I245" i="4"/>
  <c r="I247" i="4"/>
  <c r="I249" i="4"/>
  <c r="I250" i="4"/>
  <c r="I251" i="4"/>
  <c r="I315" i="4"/>
  <c r="I317" i="4"/>
  <c r="I252" i="4"/>
  <c r="I319" i="4"/>
  <c r="I320" i="4"/>
  <c r="I321" i="4"/>
  <c r="I256" i="4"/>
  <c r="I322" i="4"/>
  <c r="I323" i="4"/>
  <c r="I326" i="4"/>
  <c r="I333" i="4"/>
  <c r="I334" i="4"/>
  <c r="I335" i="4"/>
  <c r="I263" i="4"/>
  <c r="I338" i="4"/>
  <c r="I264" i="4"/>
  <c r="I344" i="4"/>
  <c r="I348" i="4"/>
  <c r="I351" i="4"/>
  <c r="I353" i="4"/>
  <c r="I354" i="4"/>
  <c r="I355" i="4"/>
  <c r="I356" i="4"/>
  <c r="I359" i="4"/>
  <c r="I360" i="4"/>
  <c r="I361" i="4"/>
  <c r="I363" i="4"/>
  <c r="I364" i="4"/>
  <c r="I366" i="4"/>
  <c r="I368" i="4"/>
  <c r="I370" i="4"/>
  <c r="I371" i="4"/>
  <c r="I372" i="4"/>
  <c r="I374" i="4"/>
  <c r="I375" i="4"/>
  <c r="I377" i="4"/>
  <c r="I381" i="4"/>
  <c r="I382" i="4"/>
  <c r="I383" i="4"/>
  <c r="I386" i="4"/>
  <c r="I387" i="4"/>
  <c r="I388" i="4"/>
  <c r="I390" i="4"/>
  <c r="I392" i="4"/>
  <c r="I394" i="4"/>
  <c r="I395" i="4"/>
  <c r="I396" i="4"/>
  <c r="I397" i="4"/>
  <c r="I399" i="4"/>
  <c r="I401" i="4"/>
  <c r="I405" i="4"/>
  <c r="I407" i="4"/>
  <c r="I408" i="4"/>
  <c r="I409" i="4"/>
  <c r="I410" i="4"/>
  <c r="I412" i="4"/>
  <c r="I414" i="4"/>
  <c r="I415" i="4"/>
  <c r="I416" i="4"/>
  <c r="I418" i="4"/>
  <c r="I419" i="4"/>
  <c r="I420" i="4"/>
  <c r="I421" i="4"/>
  <c r="I422" i="4"/>
  <c r="I423" i="4"/>
  <c r="I424" i="4"/>
  <c r="I428" i="4"/>
  <c r="I434" i="4"/>
  <c r="I435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105" i="4"/>
  <c r="I3" i="4"/>
  <c r="F5" i="4"/>
  <c r="I5" i="4"/>
  <c r="I6" i="4"/>
  <c r="I7" i="4"/>
  <c r="I9" i="4"/>
  <c r="I10" i="4"/>
  <c r="I13" i="4"/>
  <c r="I15" i="4"/>
  <c r="I16" i="4"/>
  <c r="I17" i="4"/>
  <c r="I18" i="4"/>
  <c r="I19" i="4"/>
  <c r="I21" i="4"/>
  <c r="I22" i="4"/>
  <c r="I23" i="4"/>
  <c r="I25" i="4"/>
  <c r="I26" i="4"/>
  <c r="I27" i="4"/>
  <c r="I28" i="4"/>
  <c r="F29" i="4"/>
  <c r="I29" i="4"/>
  <c r="F32" i="4"/>
  <c r="I32" i="4"/>
  <c r="I33" i="4"/>
  <c r="I34" i="4"/>
  <c r="F36" i="4"/>
  <c r="I36" i="4"/>
  <c r="F37" i="4"/>
  <c r="I37" i="4"/>
  <c r="I38" i="4"/>
  <c r="I39" i="4"/>
  <c r="I40" i="4"/>
  <c r="I41" i="4"/>
  <c r="I43" i="4"/>
  <c r="I45" i="4"/>
  <c r="I48" i="4"/>
  <c r="I51" i="4"/>
  <c r="I52" i="4"/>
  <c r="I53" i="4"/>
  <c r="F54" i="4"/>
  <c r="I54" i="4"/>
  <c r="I57" i="4"/>
  <c r="I58" i="4"/>
  <c r="F59" i="4"/>
  <c r="I59" i="4"/>
  <c r="I61" i="4"/>
  <c r="I62" i="4"/>
  <c r="I63" i="4"/>
  <c r="F64" i="4"/>
  <c r="I64" i="4"/>
  <c r="I67" i="4"/>
  <c r="I68" i="4"/>
  <c r="I69" i="4"/>
  <c r="I71" i="4"/>
  <c r="I72" i="4"/>
  <c r="I73" i="4"/>
  <c r="I74" i="4"/>
  <c r="F76" i="4"/>
  <c r="I76" i="4"/>
  <c r="I77" i="4"/>
  <c r="I78" i="4"/>
  <c r="I79" i="4"/>
  <c r="I80" i="4"/>
  <c r="F82" i="4"/>
  <c r="I84" i="4"/>
  <c r="I85" i="4"/>
  <c r="F86" i="4"/>
  <c r="I86" i="4"/>
  <c r="I87" i="4"/>
  <c r="I88" i="4"/>
  <c r="I91" i="4"/>
  <c r="I92" i="4"/>
  <c r="F93" i="4"/>
  <c r="I93" i="4"/>
  <c r="F94" i="4"/>
  <c r="I94" i="4"/>
  <c r="I97" i="4"/>
  <c r="I98" i="4"/>
  <c r="I99" i="4"/>
  <c r="I100" i="4"/>
  <c r="I101" i="4"/>
  <c r="I102" i="4"/>
  <c r="I84" i="2"/>
  <c r="J84" i="2" s="1"/>
  <c r="D9" i="1"/>
  <c r="D8" i="1"/>
  <c r="D7" i="1"/>
  <c r="I9" i="2"/>
  <c r="J9" i="2" s="1"/>
  <c r="I3" i="2"/>
  <c r="J3" i="2" s="1"/>
  <c r="I5" i="2"/>
  <c r="J5" i="2" s="1"/>
  <c r="I17" i="2"/>
  <c r="J17" i="2" s="1"/>
  <c r="I10" i="2"/>
  <c r="J10" i="2" s="1"/>
  <c r="I13" i="2"/>
  <c r="J13" i="2" s="1"/>
  <c r="I25" i="2"/>
  <c r="J25" i="2" s="1"/>
  <c r="I102" i="2"/>
  <c r="J102" i="2" s="1"/>
  <c r="I12" i="2"/>
  <c r="J12" i="2" s="1"/>
  <c r="I29" i="2"/>
  <c r="J29" i="2" s="1"/>
  <c r="I27" i="2"/>
  <c r="J27" i="2" s="1"/>
  <c r="I7" i="2"/>
  <c r="J7" i="2" s="1"/>
  <c r="I98" i="2"/>
  <c r="J98" i="2" s="1"/>
  <c r="I30" i="2"/>
  <c r="J30" i="2" s="1"/>
  <c r="I28" i="2"/>
  <c r="J28" i="2" s="1"/>
  <c r="I26" i="2"/>
  <c r="J26" i="2" s="1"/>
  <c r="I6" i="2"/>
  <c r="J6" i="2" s="1"/>
  <c r="G6" i="2"/>
  <c r="I21" i="2"/>
  <c r="J21" i="2" s="1"/>
  <c r="I4" i="2"/>
  <c r="J4" i="2" s="1"/>
  <c r="G4" i="2"/>
  <c r="I100" i="2"/>
  <c r="J100" i="2" s="1"/>
  <c r="I22" i="2"/>
  <c r="J22" i="2" s="1"/>
  <c r="I37" i="2"/>
  <c r="J37" i="2" s="1"/>
  <c r="I47" i="2"/>
  <c r="J47" i="2" s="1"/>
  <c r="I89" i="2"/>
  <c r="J89" i="2" s="1"/>
  <c r="I24" i="2"/>
  <c r="J24" i="2" s="1"/>
  <c r="I34" i="2"/>
  <c r="J34" i="2" s="1"/>
  <c r="I31" i="2"/>
  <c r="J31" i="2" s="1"/>
  <c r="G31" i="2"/>
  <c r="I97" i="2"/>
  <c r="J97" i="2" s="1"/>
  <c r="I11" i="2"/>
  <c r="J11" i="2" s="1"/>
  <c r="I15" i="2"/>
  <c r="J15" i="2" s="1"/>
  <c r="I14" i="2"/>
  <c r="J14" i="2" s="1"/>
  <c r="I8" i="2"/>
  <c r="J8" i="2" s="1"/>
  <c r="I32" i="2"/>
  <c r="J32" i="2" s="1"/>
  <c r="I54" i="2"/>
  <c r="J54" i="2" s="1"/>
  <c r="I23" i="2"/>
  <c r="J23" i="2" s="1"/>
  <c r="I55" i="2"/>
  <c r="J55" i="2" s="1"/>
  <c r="I19" i="2"/>
  <c r="J19" i="2" s="1"/>
  <c r="I76" i="2"/>
  <c r="J76" i="2" s="1"/>
  <c r="I64" i="2"/>
  <c r="J64" i="2" s="1"/>
  <c r="I69" i="2"/>
  <c r="J69" i="2" s="1"/>
  <c r="I79" i="2"/>
  <c r="J79" i="2" s="1"/>
  <c r="I80" i="2"/>
  <c r="J80" i="2" s="1"/>
  <c r="I18" i="2"/>
  <c r="J18" i="2" s="1"/>
  <c r="I70" i="2"/>
  <c r="J70" i="2" s="1"/>
  <c r="I50" i="2"/>
  <c r="J50" i="2" s="1"/>
  <c r="I77" i="2"/>
  <c r="J77" i="2" s="1"/>
  <c r="I101" i="2"/>
  <c r="J101" i="2" s="1"/>
  <c r="I49" i="2"/>
  <c r="J49" i="2" s="1"/>
  <c r="I40" i="2"/>
  <c r="J40" i="2" s="1"/>
  <c r="I60" i="2"/>
  <c r="J60" i="2" s="1"/>
  <c r="I99" i="2"/>
  <c r="J99" i="2" s="1"/>
  <c r="G99" i="2"/>
  <c r="I66" i="2"/>
  <c r="J66" i="2" s="1"/>
  <c r="I93" i="2"/>
  <c r="J93" i="2" s="1"/>
  <c r="I90" i="2"/>
  <c r="J90" i="2" s="1"/>
  <c r="I35" i="2"/>
  <c r="J35" i="2" s="1"/>
  <c r="I38" i="2"/>
  <c r="J38" i="2" s="1"/>
  <c r="I52" i="2"/>
  <c r="J52" i="2" s="1"/>
  <c r="I36" i="2"/>
  <c r="J36" i="2" s="1"/>
  <c r="I43" i="2"/>
  <c r="J43" i="2" s="1"/>
  <c r="G43" i="2"/>
  <c r="I44" i="2"/>
  <c r="J44" i="2" s="1"/>
  <c r="I82" i="2"/>
  <c r="J82" i="2" s="1"/>
  <c r="I96" i="2"/>
  <c r="J96" i="2" s="1"/>
  <c r="I16" i="2"/>
  <c r="J16" i="2" s="1"/>
  <c r="I39" i="2"/>
  <c r="J39" i="2" s="1"/>
  <c r="I61" i="2"/>
  <c r="J61" i="2" s="1"/>
  <c r="I63" i="2"/>
  <c r="J63" i="2" s="1"/>
  <c r="I92" i="2"/>
  <c r="J92" i="2" s="1"/>
  <c r="I74" i="2"/>
  <c r="J74" i="2" s="1"/>
  <c r="I20" i="2"/>
  <c r="J20" i="2" s="1"/>
  <c r="I83" i="2"/>
  <c r="J83" i="2" s="1"/>
  <c r="I59" i="2"/>
  <c r="J59" i="2" s="1"/>
  <c r="I33" i="2"/>
  <c r="J33" i="2" s="1"/>
  <c r="G33" i="2"/>
  <c r="I42" i="2"/>
  <c r="J42" i="2" s="1"/>
  <c r="I45" i="2"/>
  <c r="J45" i="2" s="1"/>
  <c r="I46" i="2"/>
  <c r="J46" i="2" s="1"/>
  <c r="I41" i="2"/>
  <c r="J41" i="2" s="1"/>
  <c r="I53" i="2"/>
  <c r="J53" i="2" s="1"/>
  <c r="I56" i="2"/>
  <c r="J56" i="2" s="1"/>
  <c r="G56" i="2"/>
  <c r="I48" i="2"/>
  <c r="J48" i="2" s="1"/>
  <c r="I68" i="2"/>
  <c r="J68" i="2" s="1"/>
  <c r="I85" i="2"/>
  <c r="J85" i="2" s="1"/>
  <c r="I73" i="2"/>
  <c r="J73" i="2" s="1"/>
  <c r="I71" i="2"/>
  <c r="J71" i="2" s="1"/>
  <c r="G71" i="2"/>
  <c r="I62" i="2"/>
  <c r="J62" i="2" s="1"/>
  <c r="I58" i="2"/>
  <c r="J58" i="2" s="1"/>
  <c r="I51" i="2"/>
  <c r="J51" i="2" s="1"/>
  <c r="I57" i="2"/>
  <c r="J57" i="2" s="1"/>
  <c r="I65" i="2"/>
  <c r="J65" i="2" s="1"/>
  <c r="I94" i="2"/>
  <c r="J94" i="2" s="1"/>
  <c r="I78" i="2"/>
  <c r="J78" i="2" s="1"/>
  <c r="G78" i="2"/>
  <c r="I91" i="2"/>
  <c r="J91" i="2" s="1"/>
  <c r="I75" i="2"/>
  <c r="J75" i="2" s="1"/>
  <c r="I67" i="2"/>
  <c r="J67" i="2" s="1"/>
  <c r="I87" i="2"/>
  <c r="J87" i="2" s="1"/>
  <c r="I95" i="2"/>
  <c r="J95" i="2" s="1"/>
  <c r="I88" i="2"/>
  <c r="J88" i="2" s="1"/>
  <c r="I86" i="2"/>
  <c r="J86" i="2" s="1"/>
  <c r="I72" i="2"/>
  <c r="J72" i="2" s="1"/>
  <c r="I81" i="2"/>
  <c r="J81" i="2" s="1"/>
  <c r="D101" i="5" l="1"/>
  <c r="D94" i="5"/>
  <c r="D102" i="5"/>
  <c r="D95" i="5"/>
  <c r="D103" i="5"/>
  <c r="D96" i="5"/>
  <c r="D97" i="5"/>
  <c r="D98" i="5"/>
  <c r="D99" i="5"/>
  <c r="D100" i="5"/>
  <c r="D53" i="5"/>
  <c r="D48" i="5"/>
  <c r="D50" i="5"/>
  <c r="D49" i="5"/>
  <c r="D51" i="5"/>
  <c r="D44" i="5"/>
  <c r="D52" i="5"/>
  <c r="D45" i="5"/>
  <c r="D46" i="5"/>
  <c r="D47" i="5"/>
  <c r="D52" i="1"/>
  <c r="D108" i="1"/>
  <c r="D55" i="1"/>
  <c r="D111" i="1"/>
  <c r="D56" i="1"/>
  <c r="D57" i="1"/>
  <c r="D58" i="1"/>
  <c r="D59" i="1"/>
  <c r="D60" i="1"/>
  <c r="D61" i="1"/>
  <c r="D102" i="1"/>
  <c r="D103" i="1"/>
  <c r="D104" i="1"/>
  <c r="D105" i="1"/>
  <c r="D106" i="1"/>
  <c r="D107" i="1"/>
  <c r="D53" i="1"/>
  <c r="D109" i="1"/>
  <c r="D54" i="1"/>
  <c r="D110" i="1"/>
</calcChain>
</file>

<file path=xl/sharedStrings.xml><?xml version="1.0" encoding="utf-8"?>
<sst xmlns="http://schemas.openxmlformats.org/spreadsheetml/2006/main" count="728" uniqueCount="591">
  <si>
    <t>Rind</t>
  </si>
  <si>
    <t>B</t>
  </si>
  <si>
    <t>Schwein</t>
  </si>
  <si>
    <t>Kalb</t>
  </si>
  <si>
    <t>Huhn</t>
  </si>
  <si>
    <t>Pute</t>
  </si>
  <si>
    <t>Ente</t>
  </si>
  <si>
    <t>Lamm</t>
  </si>
  <si>
    <t>Wildfleisch</t>
  </si>
  <si>
    <t>Wurst</t>
  </si>
  <si>
    <t>Salami</t>
  </si>
  <si>
    <t>Lachs</t>
  </si>
  <si>
    <t>W</t>
  </si>
  <si>
    <t>Forelle</t>
  </si>
  <si>
    <t>Kabeljau</t>
  </si>
  <si>
    <t>D</t>
  </si>
  <si>
    <t>Thunfisch</t>
  </si>
  <si>
    <t>Garnele</t>
  </si>
  <si>
    <t>Muschel</t>
  </si>
  <si>
    <t>Name</t>
  </si>
  <si>
    <t>Region</t>
  </si>
  <si>
    <t>Milch</t>
  </si>
  <si>
    <t>Sojamilch</t>
  </si>
  <si>
    <t>Käse</t>
  </si>
  <si>
    <t>Sahne</t>
  </si>
  <si>
    <t>Joghurt</t>
  </si>
  <si>
    <t>Quark</t>
  </si>
  <si>
    <t>Butter</t>
  </si>
  <si>
    <t>Ziegenkäse</t>
  </si>
  <si>
    <t>Parmesan</t>
  </si>
  <si>
    <t>Mozzarella</t>
  </si>
  <si>
    <t>Frischkäse</t>
  </si>
  <si>
    <t>Gorgonzola</t>
  </si>
  <si>
    <t>Ei</t>
  </si>
  <si>
    <t>Honig</t>
  </si>
  <si>
    <t>Mehl (Weizen)</t>
  </si>
  <si>
    <t>Reis</t>
  </si>
  <si>
    <t>Nudeln</t>
  </si>
  <si>
    <t>Brot</t>
  </si>
  <si>
    <t>Schokolade</t>
  </si>
  <si>
    <t>Zucker</t>
  </si>
  <si>
    <t>Apfelsaft</t>
  </si>
  <si>
    <t>Ananas</t>
  </si>
  <si>
    <t>Apfel</t>
  </si>
  <si>
    <t>Aprikose</t>
  </si>
  <si>
    <t>Avocado</t>
  </si>
  <si>
    <t>Banane</t>
  </si>
  <si>
    <t>Birne</t>
  </si>
  <si>
    <t>Blaubeeren</t>
  </si>
  <si>
    <t>Dattel</t>
  </si>
  <si>
    <t>Erdbeere</t>
  </si>
  <si>
    <t>Feige</t>
  </si>
  <si>
    <t>Himbeere</t>
  </si>
  <si>
    <t>Kirsche</t>
  </si>
  <si>
    <t>Kiwi</t>
  </si>
  <si>
    <t>Mandarine</t>
  </si>
  <si>
    <t>Mango</t>
  </si>
  <si>
    <t>Olive</t>
  </si>
  <si>
    <t>Orange</t>
  </si>
  <si>
    <t>Pfirsich</t>
  </si>
  <si>
    <t>Pflaume</t>
  </si>
  <si>
    <t>Wassermelone</t>
  </si>
  <si>
    <t>Honigmelone</t>
  </si>
  <si>
    <t>Zitrone</t>
  </si>
  <si>
    <t>Zwetschge</t>
  </si>
  <si>
    <t>Traube</t>
  </si>
  <si>
    <t>Artischocke</t>
  </si>
  <si>
    <t>Aubergine</t>
  </si>
  <si>
    <t>Bohne</t>
  </si>
  <si>
    <t>Blumenkohl</t>
  </si>
  <si>
    <t>Brokkoli</t>
  </si>
  <si>
    <t>Pilze</t>
  </si>
  <si>
    <t>Erbse</t>
  </si>
  <si>
    <t>Salat</t>
  </si>
  <si>
    <t>Fenchel</t>
  </si>
  <si>
    <t>Spitzkohl</t>
  </si>
  <si>
    <t>Salatgurke</t>
  </si>
  <si>
    <t>Kartoffel</t>
  </si>
  <si>
    <t>Kichererbse</t>
  </si>
  <si>
    <t>Knoblauch</t>
  </si>
  <si>
    <t>Hokkaidokürbis</t>
  </si>
  <si>
    <t>Linsen</t>
  </si>
  <si>
    <t>Mais</t>
  </si>
  <si>
    <t>Karotte</t>
  </si>
  <si>
    <t>Paprika</t>
  </si>
  <si>
    <t>Kohlrabi</t>
  </si>
  <si>
    <t>Lauch</t>
  </si>
  <si>
    <t>Rosenkohl</t>
  </si>
  <si>
    <t>Rote Bete</t>
  </si>
  <si>
    <t>Rotkohl</t>
  </si>
  <si>
    <t>Sellerie</t>
  </si>
  <si>
    <t>Sojasprossen</t>
  </si>
  <si>
    <t>Spargel</t>
  </si>
  <si>
    <t>Spinat</t>
  </si>
  <si>
    <t>Süßkartoffel</t>
  </si>
  <si>
    <t>Tomate</t>
  </si>
  <si>
    <t>Zucchini</t>
  </si>
  <si>
    <t>Zwiebel</t>
  </si>
  <si>
    <t>Chili</t>
  </si>
  <si>
    <t>Kokosnuss</t>
  </si>
  <si>
    <t>Mandel</t>
  </si>
  <si>
    <t>Erdnuss</t>
  </si>
  <si>
    <t>Haselnuss</t>
  </si>
  <si>
    <t>Walnuss</t>
  </si>
  <si>
    <t>Cashewkern</t>
  </si>
  <si>
    <t>Nummer</t>
  </si>
  <si>
    <t>CO2 /100g</t>
  </si>
  <si>
    <t>Wasser / 100g</t>
  </si>
  <si>
    <t>Aufteilung der Lebensmittel nach Region</t>
  </si>
  <si>
    <t>Lebensmittel aus anderen Ländern</t>
  </si>
  <si>
    <t>Lebensmittel aus Deutschland</t>
  </si>
  <si>
    <t>Lebensmittel aus Bayern</t>
  </si>
  <si>
    <t>Aufteilung der Lebensmittel nach CO2</t>
  </si>
  <si>
    <t>Herkunft der Lebensmittel / Medallienverteilung</t>
  </si>
  <si>
    <t>Verteilung nach CO2-eq. / 100g / Lebensmittel</t>
  </si>
  <si>
    <t>Ausgleichsfunktion für ~ Linearverteilung</t>
  </si>
  <si>
    <t>f(x) = [x^(1/3,5)]-1,9</t>
  </si>
  <si>
    <t>CO2-Punkte</t>
  </si>
  <si>
    <t>CO2 Normallisiert</t>
  </si>
  <si>
    <t>Punkteverteilung nach CO2-eq.  - [0,5-5]</t>
  </si>
  <si>
    <r>
      <rPr>
        <b/>
        <sz val="14"/>
        <color theme="1"/>
        <rFont val="Calibri"/>
        <family val="2"/>
        <scheme val="minor"/>
      </rPr>
      <t>0,5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</si>
  <si>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</si>
  <si>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1,5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</si>
  <si>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</si>
  <si>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</si>
  <si>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</si>
  <si>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</si>
  <si>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2,5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</si>
  <si>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3,5</t>
    </r>
    <r>
      <rPr>
        <sz val="11"/>
        <color theme="1"/>
        <rFont val="Calibri"/>
        <family val="2"/>
        <scheme val="minor"/>
      </rPr>
      <t xml:space="preserve">   CO2-eq.-Punkte</t>
    </r>
  </si>
  <si>
    <r>
      <rPr>
        <b/>
        <sz val="14"/>
        <color theme="1"/>
        <rFont val="Calibri"/>
        <family val="2"/>
        <scheme val="minor"/>
      </rPr>
      <t>4,5</t>
    </r>
    <r>
      <rPr>
        <sz val="11"/>
        <color theme="1"/>
        <rFont val="Calibri"/>
        <family val="2"/>
        <scheme val="minor"/>
      </rPr>
      <t xml:space="preserve">   CO2-eq.-Punkte</t>
    </r>
  </si>
  <si>
    <t>Aufteilung der Lebensmittel nach Wasserverbrauch</t>
  </si>
  <si>
    <t>Verteilung nach Wasser / 100g / Lebensmittel</t>
  </si>
  <si>
    <t>Wasser Normallisiert</t>
  </si>
  <si>
    <t>Wasser-Punkte</t>
  </si>
  <si>
    <t>Punkteverteilung nach Wasser  - [0,5-5]</t>
  </si>
  <si>
    <t>f(x) = [x^(1/3,5)]-2,3</t>
  </si>
  <si>
    <r>
      <rPr>
        <b/>
        <sz val="14"/>
        <color theme="1"/>
        <rFont val="Calibri"/>
        <family val="2"/>
        <scheme val="minor"/>
      </rPr>
      <t>0,5</t>
    </r>
    <r>
      <rPr>
        <sz val="11"/>
        <color theme="1"/>
        <rFont val="Calibri"/>
        <family val="2"/>
        <scheme val="minor"/>
      </rPr>
      <t xml:space="preserve">   H2O-Punkte</t>
    </r>
  </si>
  <si>
    <r>
      <rPr>
        <b/>
        <sz val="14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  H2O-Punkte</t>
    </r>
  </si>
  <si>
    <r>
      <rPr>
        <b/>
        <sz val="14"/>
        <color theme="1"/>
        <rFont val="Calibri"/>
        <family val="2"/>
        <scheme val="minor"/>
      </rPr>
      <t>1,5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</si>
  <si>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</si>
  <si>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2,5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</si>
  <si>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</si>
  <si>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3,5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</si>
  <si>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</si>
  <si>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4,5</t>
    </r>
    <r>
      <rPr>
        <sz val="11"/>
        <color theme="1"/>
        <rFont val="Calibri"/>
        <family val="2"/>
        <scheme val="minor"/>
      </rPr>
      <t xml:space="preserve">    H2O-Punkte</t>
    </r>
  </si>
  <si>
    <r>
      <rPr>
        <b/>
        <sz val="14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   H2O-Punkte</t>
    </r>
  </si>
  <si>
    <t>Palajitas</t>
  </si>
  <si>
    <t>Asiatisches Schweinefilet aus dem Wok</t>
  </si>
  <si>
    <t>Neapolitaner Minestrone</t>
  </si>
  <si>
    <t>Rievkooche-Burger</t>
  </si>
  <si>
    <t>Griechischer Hackbraten und Gurkensalat mit Joghurt</t>
  </si>
  <si>
    <t>Pizza-Raclette</t>
  </si>
  <si>
    <t>Bunter Sommersalat mit Putenbruststreifen und Caesars Dressing</t>
  </si>
  <si>
    <t>Fischsuppe à la Krakenes Fyr</t>
  </si>
  <si>
    <t>Dorsch Rückenfilet mit Waldkräutersenfkruste auf Tomaten - Gemüserisotto</t>
  </si>
  <si>
    <t>Kürbis-Moussaka</t>
  </si>
  <si>
    <t>Linsen-Kartoffeleintopf</t>
  </si>
  <si>
    <t>Cannelloni mit Kalbfleisch - Artischockenfüllung und Käsesauce</t>
  </si>
  <si>
    <t>Kürbistarte mit Schafskäse</t>
  </si>
  <si>
    <t>Chefkoch Pulled Teriyaki-Lachs-Burger</t>
  </si>
  <si>
    <t>Türkische Gemüsesuppe</t>
  </si>
  <si>
    <t>Cashew-Spinat-Lasagne</t>
  </si>
  <si>
    <t>Rinderrouladen nach Ammerländer Art</t>
  </si>
  <si>
    <t>Orientalisch gefüllter Kürbis</t>
  </si>
  <si>
    <t>Grillplatte mit Fleisch und Gemüse</t>
  </si>
  <si>
    <t>Erdnuss-Hackbällchen in Currysauce</t>
  </si>
  <si>
    <t>Bouillabaisse Marseillaise</t>
  </si>
  <si>
    <t>Rosenkohlgemüse mit Mini - Frikadellen</t>
  </si>
  <si>
    <t>Crêpes mit Mittelmeerfrüchten</t>
  </si>
  <si>
    <t>Sommerpfannkuchen mit Zucchini-Knoblauch-Frischkäse-Füllung</t>
  </si>
  <si>
    <t>Erdbeerspargelsalat auf Wildkräuterbett u.v.m.</t>
  </si>
  <si>
    <t>Italienischer Silvestersalat</t>
  </si>
  <si>
    <t>Currygeschnetzeltes mit Mandelreis</t>
  </si>
  <si>
    <t>Das beste Chili con Carne</t>
  </si>
  <si>
    <t>Gefüllter Gänsebraten mit Serviettenknödeln</t>
  </si>
  <si>
    <t>Bunter Hackfleisch-Gemüse-Eintopf</t>
  </si>
  <si>
    <t>Kartoffel-Moussaka</t>
  </si>
  <si>
    <t>Lollo mit Hähnchen</t>
  </si>
  <si>
    <t>Ragout fin mit gemischten Pilzen</t>
  </si>
  <si>
    <t>Falafel-Wrap mit Dattel-Schmand-Dip</t>
  </si>
  <si>
    <t>Bucatini Auflauf</t>
  </si>
  <si>
    <t>Bouillabaisse</t>
  </si>
  <si>
    <t>Spargeleintopf mit Fleischklößchen</t>
  </si>
  <si>
    <t>Gefüllte Buchteln mit Frühlingssalat</t>
  </si>
  <si>
    <t>Überbackene Mettklößchen</t>
  </si>
  <si>
    <t>Tortelloni mit Kaninchenleberfüllung und Salbei-Spargel-Butter</t>
  </si>
  <si>
    <t>Minestrone</t>
  </si>
  <si>
    <t>Saftige NT-Kalbsnuss an glacierten Möhren und Kartoffelsoufflé</t>
  </si>
  <si>
    <t>Gebratene Nudeln mit Gemüse, asiatisch</t>
  </si>
  <si>
    <t>Sommerlicher Fisch - Traum</t>
  </si>
  <si>
    <t>Gefüllter Hokkaido - Kürbis</t>
  </si>
  <si>
    <t>Agis Gyros in Metaxasauce</t>
  </si>
  <si>
    <t>Süßkartoffelquiche</t>
  </si>
  <si>
    <t>Scharfe Bananen - Fleischbällchen mit süß - saurer Sauce</t>
  </si>
  <si>
    <t>Chrissis Lahmacun</t>
  </si>
  <si>
    <t>Italienischer Eintopf</t>
  </si>
  <si>
    <t>Fischragout mit Gemüse</t>
  </si>
  <si>
    <t>Vegetarischer Nudelauflauf mit Kürbis</t>
  </si>
  <si>
    <t>Polenta - Auflauf 'South Haven'</t>
  </si>
  <si>
    <t>Karibische Gemüse - Hähnchenspieße mit scharfem Mangochutney</t>
  </si>
  <si>
    <t>Mariniertes Steak mit Grillkartoffel und Gemüsespieß</t>
  </si>
  <si>
    <t>Feuermohns gefüllte Lachs Spinat Cannelloni</t>
  </si>
  <si>
    <t>Mediterraner Schmortopf</t>
  </si>
  <si>
    <t>Bohnen - Speck - Rollen in Gemüsesoße</t>
  </si>
  <si>
    <t>Fischtopf überbacken</t>
  </si>
  <si>
    <t>Klare Suppe mit Fisch und gemischtem Gemüse</t>
  </si>
  <si>
    <t>Falsche Schildkröte mit Fischklösschen</t>
  </si>
  <si>
    <t>Gebackener Ziegenkäse im Speckmantel auf fruchtigem Salat mit Honig-Senf-Vinaigrette</t>
  </si>
  <si>
    <t>Sommerliche Schupfnudelpfanne</t>
  </si>
  <si>
    <t>Asiatisch - fränkischer Tafelspitz, Brezenkloß und Meerrettichcreme</t>
  </si>
  <si>
    <t>Chicken Wrap mit Gemüse, Guacamole und Crème fraîche</t>
  </si>
  <si>
    <t>Kürbis - Kokos - Suppe mit Chili</t>
  </si>
  <si>
    <t>Spinat-Gemüse-Lasagne mit Tomatensoße</t>
  </si>
  <si>
    <t>Kürbis-Lauch-Quiche</t>
  </si>
  <si>
    <t>Bunter Nudelauflauf</t>
  </si>
  <si>
    <t>Auberginenröllchen mit würziger Reisfüllung</t>
  </si>
  <si>
    <t>Ragout von Hähnchenbrust, grünem Spargel und Erdbeeren mit Kürbiskernrisotto</t>
  </si>
  <si>
    <t>Pizza Diavolo</t>
  </si>
  <si>
    <t>Linsensalat mit Mango und Ziegenkäse</t>
  </si>
  <si>
    <t>Tarte à la Ratatouille</t>
  </si>
  <si>
    <t>Kräuterforelle auf mediterranem Sommergemüse</t>
  </si>
  <si>
    <t>Kabeljau im Panko-Parmesan-Mantel mit Tomatennudeln</t>
  </si>
  <si>
    <t>Überbackene Enchiladas mit Tzatziki</t>
  </si>
  <si>
    <t>Griechische Gemüsesuppe</t>
  </si>
  <si>
    <t>Paella</t>
  </si>
  <si>
    <t>Mangoldstrudel</t>
  </si>
  <si>
    <t>Gefüllte Pide</t>
  </si>
  <si>
    <t>Hackbraten</t>
  </si>
  <si>
    <t>Gurken - Schmortopf</t>
  </si>
  <si>
    <t>Edelfische auf Blattspinat in Rote Bete-Sauce</t>
  </si>
  <si>
    <t>Lammrücken unter der Kräuterkruste auf Artischockengemüse mit Polenta</t>
  </si>
  <si>
    <t>Gemüse - Lasagne</t>
  </si>
  <si>
    <t>Lachs gedämpft</t>
  </si>
  <si>
    <t>Lasagne Bolognese</t>
  </si>
  <si>
    <t>Schweinefilet in Schinkenmantel mit Spinat - Pilz - Mozarellafüllung in Blätterteig</t>
  </si>
  <si>
    <t>Kartoffel-Kürbis Gratin alla Napolitana</t>
  </si>
  <si>
    <t>Gemüse-Soufflé</t>
  </si>
  <si>
    <t>Lachs im Gemüsebett</t>
  </si>
  <si>
    <t>Lahmacun</t>
  </si>
  <si>
    <t>Pizza-Dip</t>
  </si>
  <si>
    <t>Palatschinken mit feiner Walnussfüllung</t>
  </si>
  <si>
    <t>Brokkoli - Walnuss Quiche</t>
  </si>
  <si>
    <t>Cannelloni mit Spinat-Tomatensoße und Lachs</t>
  </si>
  <si>
    <t>Kürbisgemüse aus dem Ofen mit Kräuterquark</t>
  </si>
  <si>
    <t>Blitz-Hühnerfrikassee</t>
  </si>
  <si>
    <t>Rindersteak mit Käse - Sauce</t>
  </si>
  <si>
    <t>Lustige Leber</t>
  </si>
  <si>
    <t>Lauchcreme-Gourmetsuppe</t>
  </si>
  <si>
    <t>Cannelloni mit cremiger Gemüse-Käse-Füllung</t>
  </si>
  <si>
    <t>Spargel im knusprigen Hafer - Mantel</t>
  </si>
  <si>
    <t>Gratinierte Forelle mit Mozzarella</t>
  </si>
  <si>
    <t>Hackauflauf mit Lauchkruste</t>
  </si>
  <si>
    <t>Moussaka</t>
  </si>
  <si>
    <t>Spinat-Käse-Auflauf</t>
  </si>
  <si>
    <t>Möhreneintopf</t>
  </si>
  <si>
    <t>Chinesische Reis - Gemüse - Pfanne</t>
  </si>
  <si>
    <t>Nudeln mit Butternut- oder Hokkaidokürbis</t>
  </si>
  <si>
    <t>Holzhackersteak</t>
  </si>
  <si>
    <t>Zucchini-Lasagne</t>
  </si>
  <si>
    <t>Knusperschnitzel mit Salat</t>
  </si>
  <si>
    <t>Lamm mit Mandeln, Pistazien und Berberitzen</t>
  </si>
  <si>
    <t>Überbackene Koteletts</t>
  </si>
  <si>
    <t>Leipziger Klopse</t>
  </si>
  <si>
    <t>Pfannkuchen mit Spinat</t>
  </si>
  <si>
    <t>Hähnchenschenkel mit Kartoffel - Gemüsepfanne</t>
  </si>
  <si>
    <t>Schweinehals mit pikantem Lauchgemüse und Quittengeleesauce</t>
  </si>
  <si>
    <t>Das große Burggeheimnis</t>
  </si>
  <si>
    <t>Pappardelle di Don Vito</t>
  </si>
  <si>
    <t>Heißer Cowboy Topf</t>
  </si>
  <si>
    <t>Poaca - gefüllte Teigtaschen</t>
  </si>
  <si>
    <t>Chili sin Carne</t>
  </si>
  <si>
    <t>Mariniertes Geflügel mit Ananassalsa und Nudelsalat</t>
  </si>
  <si>
    <t>Spargel mit Sauce Hollandaise, gebratenem Schweinefilet und Kartoffelgratin</t>
  </si>
  <si>
    <t>Low Carb Pizzaboden aus Zucchini</t>
  </si>
  <si>
    <t>Moussaka kretische Art</t>
  </si>
  <si>
    <t>Brokkoli - Fenchel - Auflauf mit Kartoffeln</t>
  </si>
  <si>
    <t>Deftige Chili - Gemüsesuppe</t>
  </si>
  <si>
    <t>Scharfer Auberginensalat</t>
  </si>
  <si>
    <t>Mediterrane Gemüsepfanne mit Hähnchenbrustfilet</t>
  </si>
  <si>
    <t>Muschelnudeln mit Lachs, Spinat und Fenchel</t>
  </si>
  <si>
    <t>Annas gefüllte Zucchini im Tomatenbett</t>
  </si>
  <si>
    <t>Farsumagru</t>
  </si>
  <si>
    <t>Schaschlik nach Andrés Art</t>
  </si>
  <si>
    <t>Couscous-Salat, lecker würzig</t>
  </si>
  <si>
    <t>Femüse-Geflügel-Suppe</t>
  </si>
  <si>
    <t>Spinatknödel mit Gorgonzolasauce</t>
  </si>
  <si>
    <t>Lasagne</t>
  </si>
  <si>
    <t>Rindergulasch</t>
  </si>
  <si>
    <t>Reisauflauf mit Zwetschgensoße</t>
  </si>
  <si>
    <t>Gefüllte Schmorgurke in Tomatensauce</t>
  </si>
  <si>
    <t>Kürbisgratin</t>
  </si>
  <si>
    <t>Putenfleischknödel mit Linsenstrudel</t>
  </si>
  <si>
    <t>Ungarische Gulaschsuppe</t>
  </si>
  <si>
    <t>Überbackene Cannelloni mit Brokkolifüllung</t>
  </si>
  <si>
    <t>Rauke - Linsen - Salat mit Lammfilet</t>
  </si>
  <si>
    <t>Kohlrabilasagne</t>
  </si>
  <si>
    <t>Feta-Blattspinat-Rolle mit Sesam und süß-saurem Dip</t>
  </si>
  <si>
    <t>Paprikaschnitzel mit kräftiger Paprikasauce</t>
  </si>
  <si>
    <t>Spargel aus dem Ofen mit Hefe-Pfannküchlein und Paprika-Vinaigrette</t>
  </si>
  <si>
    <t>Griechisches Kalbsfleisch in Tomatensoße mit Nudeln</t>
  </si>
  <si>
    <t>botos Bifteki mit griechischem Tomatenreis</t>
  </si>
  <si>
    <t>Salat mit Honigchampignons</t>
  </si>
  <si>
    <t>Yufka mit Gemüse- und Rindfleischfüllung</t>
  </si>
  <si>
    <t>Rinderfilet gratiniert mit Rotkohl und Kartoffelklößen</t>
  </si>
  <si>
    <t>Bouillabaisse mit Sauce Rouille und Baguette</t>
  </si>
  <si>
    <t>Rigatoni mit Hähnchen in Senf - Sahne - Sauce</t>
  </si>
  <si>
    <t>Linsen-Gemüse-Kartoffel-Topf mit Putenfleisch</t>
  </si>
  <si>
    <t>Hähncheneintopf à la Eddie</t>
  </si>
  <si>
    <t>Nudelauflauf Winterzauber</t>
  </si>
  <si>
    <t>Kabeljau im Gemüsesud und Schnittlauchbutter</t>
  </si>
  <si>
    <t>Gratinierter Gemüseauflauf</t>
  </si>
  <si>
    <t>Gemüse aus dem Backofen</t>
  </si>
  <si>
    <t>Hähnchen - Schauwarma</t>
  </si>
  <si>
    <t>Hähnchencurry mit Süßkartoffeln</t>
  </si>
  <si>
    <t>Kräuter - Käse - Klops</t>
  </si>
  <si>
    <t>Kabeljaufilet unter Kartoffelschuppen</t>
  </si>
  <si>
    <t>Gemüsespiralen-Tarte</t>
  </si>
  <si>
    <t>Gefüllter Hokkaidokürbis</t>
  </si>
  <si>
    <t>Tanja's Djuvec - Hähnchenpfanne</t>
  </si>
  <si>
    <t>Rindersteaks auf italienisch</t>
  </si>
  <si>
    <t>Surhaxe mit Sauerkraut oder Erbsmus</t>
  </si>
  <si>
    <t>Hähnchen - Mango - Curry</t>
  </si>
  <si>
    <t>Vegane Curry-Linsen-Bowl mit Röst-Karotten und Petersilien-Dip</t>
  </si>
  <si>
    <t>Makhani Hähnchen</t>
  </si>
  <si>
    <t>Hackfleisch-Picadillo</t>
  </si>
  <si>
    <t>Linseneintopf kanarische Art</t>
  </si>
  <si>
    <t>Putenschnitzel Italia mit klassischem Tomaten - Mozzarella - Salat</t>
  </si>
  <si>
    <t>Asia-Pfanne süß-sauer</t>
  </si>
  <si>
    <t>Tafelspitz mit Polenta-Nocken</t>
  </si>
  <si>
    <t>Gemüse-Pizza</t>
  </si>
  <si>
    <t>Spaghetti Bolognese nach Toskana Art</t>
  </si>
  <si>
    <t>Backofengeheimnis</t>
  </si>
  <si>
    <t>Rosenkohl-Curry</t>
  </si>
  <si>
    <t>Linsen-Hackfleisch-Kuchen</t>
  </si>
  <si>
    <t>Grisous leichte Tarte à la moutarde</t>
  </si>
  <si>
    <t>Orientalischer Hackbraten</t>
  </si>
  <si>
    <t>Ungarischer Nudelsalat</t>
  </si>
  <si>
    <t>Spargelplatte mit Putenschnitzel im Speckmantel</t>
  </si>
  <si>
    <t>Mexikanisches Hähnchen</t>
  </si>
  <si>
    <t>Gebackener Feta auf gemischtem Salat mit Honigdressing</t>
  </si>
  <si>
    <t>Zwiebelkuchen, schwäbischer</t>
  </si>
  <si>
    <t>Zitronen-Schnitzel mit Parmesanpanade</t>
  </si>
  <si>
    <t>Ossobuco à la Annette im Römertopf</t>
  </si>
  <si>
    <t>Hähnchen-Reis-Pfanne</t>
  </si>
  <si>
    <t>Matjessalat mit Rindfleisch</t>
  </si>
  <si>
    <t>Chili con Carne à la Benjo</t>
  </si>
  <si>
    <t>Hähnchen Frikassee</t>
  </si>
  <si>
    <t>Cremiger Nudelauflauf mit Tomaten und Mozzarella</t>
  </si>
  <si>
    <t>Gurkensuppe</t>
  </si>
  <si>
    <t>Kartoffelkuchen mit Lamm und Gemüse</t>
  </si>
  <si>
    <t>Gefüllte Paprika</t>
  </si>
  <si>
    <t>Friedhelms Jägerpfannkuchen</t>
  </si>
  <si>
    <t>Bier-Senf-Geschnetzeltes</t>
  </si>
  <si>
    <t>Kartoffelgulasch</t>
  </si>
  <si>
    <t>Provenzalische Schnitzel</t>
  </si>
  <si>
    <t>Lachsforelle auf Gemüsebett 'sous vide' mit Süßkartoffelpüree</t>
  </si>
  <si>
    <t>Lammkeule in Olivenjus mit Herzoginkartoffeln und karamellisiertem Chicoree</t>
  </si>
  <si>
    <t>Römischer Mangoldfisch mit Rosmarinkartoffeln</t>
  </si>
  <si>
    <t>Kichererbsen-Oliven-Salat</t>
  </si>
  <si>
    <t>Ungarische gefüllte Kohlrouladen</t>
  </si>
  <si>
    <t>Tomaten - Mozzarella - Steaks</t>
  </si>
  <si>
    <t>Kürbistortellini weihnachtlich gewürzt</t>
  </si>
  <si>
    <t>Couscous mit Hähnchen, Gemüse und Champignons</t>
  </si>
  <si>
    <t>Mexikanische Gemüsesuppe</t>
  </si>
  <si>
    <t>Sächsischer Herings-Kartoffelsalat</t>
  </si>
  <si>
    <t>Mediterrane Kartoffelpfanne</t>
  </si>
  <si>
    <t>Zottels Chili con Carne-Auflauf</t>
  </si>
  <si>
    <t>Österreichischer Kaiserschmarrn</t>
  </si>
  <si>
    <t>Nudeln mit Belugalinsen</t>
  </si>
  <si>
    <t>Spargelgemüse mit Mettbällchen</t>
  </si>
  <si>
    <t>Mecklenburger Bunte Katze mit Karottensalat</t>
  </si>
  <si>
    <t>Steckerlfisch mit Kartoffel - Zuccini - Paprika - Gemüse</t>
  </si>
  <si>
    <t>Ravioli mit Puten-Tomaten Füllung</t>
  </si>
  <si>
    <t>Fischsuppe</t>
  </si>
  <si>
    <t>Chili - Gulasch</t>
  </si>
  <si>
    <t>Blumenkohlauflauf mit Hackbällchen</t>
  </si>
  <si>
    <t>Burritos</t>
  </si>
  <si>
    <t>Kichererbsensuppe mit Süßkartoffeln und Paprikawurst</t>
  </si>
  <si>
    <t>Rotbarschfilet mit Erdnusspanade und Pilzgemüse</t>
  </si>
  <si>
    <t>Vegetarische Lasagne mit Auberginen</t>
  </si>
  <si>
    <t>Mexikanischer Tomatenauflauf</t>
  </si>
  <si>
    <t>Nomadenmahl</t>
  </si>
  <si>
    <t>Huhn nach Kap Malayischer Art</t>
  </si>
  <si>
    <t>Arabische Kichererbsen-Spinat Suppe</t>
  </si>
  <si>
    <t>Reistopf mit Hähnchen und Erbsen</t>
  </si>
  <si>
    <t>Pastinakenbratlinge mit Wirsingpüree</t>
  </si>
  <si>
    <t>Makkaroni - Kuchen</t>
  </si>
  <si>
    <t>Chinesische Nudelpfanne</t>
  </si>
  <si>
    <t>Hasenrücken mit Apfelsoße</t>
  </si>
  <si>
    <t>Spargel überbacken, mit Tomate und Spinat</t>
  </si>
  <si>
    <t>Zucchini - Tomatensauce</t>
  </si>
  <si>
    <t>Schneller Stroganoff mit süß - sauren Backkartoffeln</t>
  </si>
  <si>
    <t>Champignon - Nudel - Muffins</t>
  </si>
  <si>
    <t>Nudel - Tortilla</t>
  </si>
  <si>
    <t>Pflaumen-Tofu-Ravioli in Kürbis-Rote Bete-Sauce, vegan</t>
  </si>
  <si>
    <t>Einfache Paella mit Chorizo und Hähnchenkeulen</t>
  </si>
  <si>
    <t>Blätterteig - Pie mit Hackfleisch - Spinat Füllung</t>
  </si>
  <si>
    <t>English Chicken Pie</t>
  </si>
  <si>
    <t>Wachtel mit Spargel</t>
  </si>
  <si>
    <t>Hackfleisch - Gemüse - Auflauf mit Reis</t>
  </si>
  <si>
    <t>Leichter Kochfisch mit Senfgemüse</t>
  </si>
  <si>
    <t>Kalbsgeschnetzeltes Bombay</t>
  </si>
  <si>
    <t>Tortellinisalat italienische Art</t>
  </si>
  <si>
    <t>Blumenkohl - Gratin mit Sesam</t>
  </si>
  <si>
    <t>Bäuerinnensuppe</t>
  </si>
  <si>
    <t>Gemüseschnecken mit Lauchsoße</t>
  </si>
  <si>
    <t>Fischlasagne</t>
  </si>
  <si>
    <t>Ossobuco mit Röstgemüse</t>
  </si>
  <si>
    <t>Manti mit Joghurtsauce und Paprikabutter</t>
  </si>
  <si>
    <t>Chefkoch Kirsch-BBQ-Burger</t>
  </si>
  <si>
    <t>Brillas Kürbiseintopf</t>
  </si>
  <si>
    <t>Auberginen - Kartoffel - Auflauf mit Hackfleisch</t>
  </si>
  <si>
    <t>Tansanische Fischpfanne mit Spinat</t>
  </si>
  <si>
    <t>Backofen - Fisch</t>
  </si>
  <si>
    <t>Brokkolireis mit Käsehaube</t>
  </si>
  <si>
    <t>Tatarfrikadellen mit buntem Gemüse und Röstkartoffeln</t>
  </si>
  <si>
    <t>Räuberfleisch</t>
  </si>
  <si>
    <t>Involtini von der Pute auf Blattspinat mit Polentaschnitte und Tomatensauce</t>
  </si>
  <si>
    <t>Mexikanische Enchilada-Lasagne</t>
  </si>
  <si>
    <t>Vegetarische Cevapcici für den Grill</t>
  </si>
  <si>
    <t>Schaschlik vegetarisch</t>
  </si>
  <si>
    <t>Zucchini – Piccata auf Tomatenkompott mit Rucolapesto und Nudeln</t>
  </si>
  <si>
    <t>Süßkartoffel-Curry</t>
  </si>
  <si>
    <t>Italienischer Herbsteintopf</t>
  </si>
  <si>
    <t>Kartoffel-Gemüsetortilla mit Kräuterquark</t>
  </si>
  <si>
    <t>Jungfern - Braten</t>
  </si>
  <si>
    <t>Putenspieße auf Tomatenreis</t>
  </si>
  <si>
    <t>Hähnchen-Gemüse-Pfanne</t>
  </si>
  <si>
    <t>Sommernachts - Lachsfilet</t>
  </si>
  <si>
    <t>Forelle im Salzteig</t>
  </si>
  <si>
    <t>Hähnchen - Piccata mit Tomatensoße</t>
  </si>
  <si>
    <t>Bunter Erdäpfelsalat mit Frankfurter</t>
  </si>
  <si>
    <t>Orientalischer Zimt-Hackfleischtopf</t>
  </si>
  <si>
    <t>Manti - Türkische Tortellini</t>
  </si>
  <si>
    <t>Kartoffel - Zucchini - Porree - Auflauf mit Hack</t>
  </si>
  <si>
    <t>Bunter Kürbis - Kartoffel - Auflauf</t>
  </si>
  <si>
    <t>Avocado-Mango-Salat mit Hähnchen</t>
  </si>
  <si>
    <t>Süßer Topfen - Reis - Auflauf</t>
  </si>
  <si>
    <t>Kürbis, Kartoffeln und Hähnchenschenkel aus dem Backofen</t>
  </si>
  <si>
    <t>Gnocchi mit Avocado-Basilikum-Pesto</t>
  </si>
  <si>
    <t>Marinierter Lachs an Ratatouillesalat mit Rucolapesto und Brot</t>
  </si>
  <si>
    <t>Nasi Goreng</t>
  </si>
  <si>
    <t>Cremesuppe aus gelben Paprikaschoten</t>
  </si>
  <si>
    <t>Wildschweinrücken in Adventsgewürzen mit Kartoffelknödel in Rotkohl-Preiselbeermantel</t>
  </si>
  <si>
    <t>Seezungen mit Erdbeerchutney</t>
  </si>
  <si>
    <t>Schinkennudeln mit Gemüse</t>
  </si>
  <si>
    <t>Galloway im Kürbisfeld</t>
  </si>
  <si>
    <t>Gulaschsuppe à la Tick</t>
  </si>
  <si>
    <t>Gemüsekuchen</t>
  </si>
  <si>
    <t>Vegetarisches Frühlingspfännchen mit Feta-Käse</t>
  </si>
  <si>
    <t>Spargel auf Kartoffelpuffer</t>
  </si>
  <si>
    <t>Spaghetti mit Gemüse-Bolognese</t>
  </si>
  <si>
    <t>Paniertes Kalbssteak auf spanische Art</t>
  </si>
  <si>
    <t>Kürbisauflauf mit Hackfleisch</t>
  </si>
  <si>
    <t>Mini-Party-Quiches</t>
  </si>
  <si>
    <t>Karpfen in Mandelkruste</t>
  </si>
  <si>
    <t>Nudeln mit Lachs, Spinat und Ziegenkäse</t>
  </si>
  <si>
    <t>Fencheleintopf mit Parmesankartoffeln</t>
  </si>
  <si>
    <t>Vegetarisches Gemüsecurry</t>
  </si>
  <si>
    <t>Echte Gulaschsuppe</t>
  </si>
  <si>
    <t>Nudelsalat mediterran</t>
  </si>
  <si>
    <t>Portugiesische Fischpfanne</t>
  </si>
  <si>
    <t>Bunter Nudeltopf</t>
  </si>
  <si>
    <t>Feurig scharfe Zucchinisuppe mit Hackbällchen</t>
  </si>
  <si>
    <t>Spinat-Quark Lasagne</t>
  </si>
  <si>
    <t>Wiener Schnitzel mit Spargel</t>
  </si>
  <si>
    <t>Forellen auf Fenchel-Tomaten Gemüse</t>
  </si>
  <si>
    <t>Gefüllte Paprika mit Hackfleisch und Reis</t>
  </si>
  <si>
    <t>Reef and Beef</t>
  </si>
  <si>
    <t>Soljanka nach Mama Art</t>
  </si>
  <si>
    <t>Bulgur Buddha Bowl</t>
  </si>
  <si>
    <t>Lammlachse mit Kräuterkruste auf einer Bohnentrilogie und Kartoffel-Kresse-Püree</t>
  </si>
  <si>
    <t>Gemüseauflauf aus dem Terracotta Topf</t>
  </si>
  <si>
    <t>Hühnchen mit Bacon-Alfredo-Füllung</t>
  </si>
  <si>
    <t>Chilibällchen mit Fetakäse und Paprikagemüse</t>
  </si>
  <si>
    <t>Schafhirten - Pie</t>
  </si>
  <si>
    <t>Puszta-Suppe mit Mettbällchen und Sauerkraut</t>
  </si>
  <si>
    <t>Karibischer Schweinebraten</t>
  </si>
  <si>
    <t>Auflauf mit Buttergemüse, Rosenkohl und Mettenden</t>
  </si>
  <si>
    <t>Böhmischer Kartoffelsalat</t>
  </si>
  <si>
    <t>Pikanter Kartoffelsalat mit Nusskernen</t>
  </si>
  <si>
    <t>Finnische Hackfleischbällchen</t>
  </si>
  <si>
    <t>Hähnchen-Ananas-Curry mit Reis</t>
  </si>
  <si>
    <t>Hackfleischtopf mit Sommergemüse</t>
  </si>
  <si>
    <t>Khoreshe Albaloo</t>
  </si>
  <si>
    <t>Steckrübeneintopf mit Gremolata</t>
  </si>
  <si>
    <t>Thai Curry</t>
  </si>
  <si>
    <t>Rheinischer Heringssalat</t>
  </si>
  <si>
    <t>Hähnchen in Honig-Sesam Sauce und Gemüse</t>
  </si>
  <si>
    <t>Grüne Bohnensuppe auf ungarische Art</t>
  </si>
  <si>
    <t>Koteletts im mediterranem Gemüsebett</t>
  </si>
  <si>
    <t>Gulasch vom Reh</t>
  </si>
  <si>
    <t>Schweinemedaillons in Pfefferrahmsauce</t>
  </si>
  <si>
    <t>Pikante Gyrossuppe</t>
  </si>
  <si>
    <t>Frittata</t>
  </si>
  <si>
    <t>Makkaroni in Tomatensahnesoße</t>
  </si>
  <si>
    <t>Maiscremesuppe mit Bacon</t>
  </si>
  <si>
    <t>Nudeln in Schinken-Pilz-Soße</t>
  </si>
  <si>
    <t>Crespelle alla Bolognese</t>
  </si>
  <si>
    <t>Leber in Tomaten-Zwiebelsauce</t>
  </si>
  <si>
    <t>Gemüsepfanne</t>
  </si>
  <si>
    <t>Fisolenrostbraten mit bunter Semmelknödeltorte</t>
  </si>
  <si>
    <t>Bärlauch - Pizza mit Salami</t>
  </si>
  <si>
    <t>Feurige Hühnerbeinchen</t>
  </si>
  <si>
    <t>Gratin mit Kohlrabi und Hackfleisch</t>
  </si>
  <si>
    <t>Steckrübentaler auf Gemüse mit Sanddornrahm</t>
  </si>
  <si>
    <t>Gefüllte Cannelloni mit Schinken Käse</t>
  </si>
  <si>
    <t>Spinat-Crespelle mit Schinken und Tomaten</t>
  </si>
  <si>
    <t>Hähnchenbruststreifen mit Pflaumen-Schoko Sauce</t>
  </si>
  <si>
    <t>Bärlauch - Pfannkuchen mit Spargel - Schinkenfüllung</t>
  </si>
  <si>
    <t>Buntes Chili con carne</t>
  </si>
  <si>
    <t>Ungarische Paprikanudeln</t>
  </si>
  <si>
    <t>Kaninchen mit Nudeln</t>
  </si>
  <si>
    <t>Gefülltes Gemüse</t>
  </si>
  <si>
    <t>Marinierter Schweinerücken</t>
  </si>
  <si>
    <t>Forellensalat mit Dillkartoffeln</t>
  </si>
  <si>
    <t>Mittelalterliche Lutherpfanne</t>
  </si>
  <si>
    <t>Arroz à la Cubanais</t>
  </si>
  <si>
    <t>Fisch - Cazuela</t>
  </si>
  <si>
    <t>Geschmorter Tafelspitz vom Kalb</t>
  </si>
  <si>
    <t>Pasta mit Auberginen-Zucchini-Sugo</t>
  </si>
  <si>
    <t>Feines Rindsfrikassee mit Spargel und Champignons</t>
  </si>
  <si>
    <t>Grünkernauflauf mit Gemüse</t>
  </si>
  <si>
    <t>Lachsfilet mit Nüssen auf Kürbis - Minze - Püree</t>
  </si>
  <si>
    <t>Vegetarische Gemüse - Pilz - Cannelloni</t>
  </si>
  <si>
    <t>Gefülltes Hähnchenbrustfilet auf Sommersalat mit Quinoa</t>
  </si>
  <si>
    <t>Marinierter Tofu auf Linsensalat</t>
  </si>
  <si>
    <t>Hähnchen süßsauer wie im Chinarestaurant</t>
  </si>
  <si>
    <t>Türkischer grüne Bohnentopf</t>
  </si>
  <si>
    <t>Hähnchenspieß mit Speckbananen</t>
  </si>
  <si>
    <t>Würzig gefüllte Pita-Brote</t>
  </si>
  <si>
    <t>Putengeschnetzeltes mit Karotten-Orangen-Soße</t>
  </si>
  <si>
    <t>Japanische Nudelsuppe mit Hühnerbrühe und Schweinefilet-Ramen</t>
  </si>
  <si>
    <t>Lammkotelettes auf Tomatenreis</t>
  </si>
  <si>
    <t>Fisch mit Lauch und Tomaten auf Linsenbett</t>
  </si>
  <si>
    <t>Original Odenwälder Hexenpfännchen</t>
  </si>
  <si>
    <t>Teigtaschen mit Hackfleisch</t>
  </si>
  <si>
    <t>SABO - Spaghetti mit Huhn und Gorgonzola</t>
  </si>
  <si>
    <t>Pikanter Wirsingkohlauflauf</t>
  </si>
  <si>
    <t>Asiatische Nudelpfanne</t>
  </si>
  <si>
    <t>Texas Jailhouse Chili</t>
  </si>
  <si>
    <t>Falscher Hase mit glacierten Möhren und Spätzle</t>
  </si>
  <si>
    <t>Bratwurst - Puffer</t>
  </si>
  <si>
    <t>Mandel - Geflügelsalat</t>
  </si>
  <si>
    <t>Gebratene Nudeln mit Entenbrust</t>
  </si>
  <si>
    <t>Gefüllte Entenkeule mit grünem Selleriepüree und Rotkohl</t>
  </si>
  <si>
    <t>Spargel auf Eierkuchen mit Schinken und weißer Sauce mit Gorgonzola</t>
  </si>
  <si>
    <t>Pizza Low Carb</t>
  </si>
  <si>
    <t>Nizzaer Salat</t>
  </si>
  <si>
    <t>Soja-Lauch-Torte mit Nüssen</t>
  </si>
  <si>
    <t>Bolognese vegan</t>
  </si>
  <si>
    <t>Babooti mit Lamm und Aprikosen</t>
  </si>
  <si>
    <t>Butter mit Honig cremig rühren. Eier und das Vanillemark einrühren. Beide Mehlsorten mit Backpulver mischen. Die Mischung in die Eiermasse einrühren</t>
  </si>
  <si>
    <t>Kürbis-Flammkuchen</t>
  </si>
  <si>
    <t>Blaubeersuppe mit Grießklößchen</t>
  </si>
  <si>
    <t>Blaubeerenauflauf</t>
  </si>
  <si>
    <t>Blaubeerauflauf</t>
  </si>
  <si>
    <t>Rehfilet in Vanille-Blume und Blaubeersauce mit Pfifferlingsknödeln</t>
  </si>
  <si>
    <t>Lamm auf maurische Art</t>
  </si>
  <si>
    <t>Heringsfilets auf Lauchzwiebeln und Tomaten</t>
  </si>
  <si>
    <t>Rotkohl - Borschtsch mit Feigen</t>
  </si>
  <si>
    <t>Fasanenbrust auf Zuckerschotenstroh mit Graupenrisotto an reduziertem Wildvogelfond</t>
  </si>
  <si>
    <t>Staudensellerie-Möhren-Rosinenpfanne</t>
  </si>
  <si>
    <t>Schweinefilet mit Feigen</t>
  </si>
  <si>
    <t>Zanderfilet auf bayrisch Rahmkraut</t>
  </si>
  <si>
    <t>Rahmbuchteln mit Kirschen</t>
  </si>
  <si>
    <t>Kirschenmichel</t>
  </si>
  <si>
    <t>Rehkeule mit Printensauce</t>
  </si>
  <si>
    <t>Süße Lasagne</t>
  </si>
  <si>
    <t>Warnemünder Heringssalat</t>
  </si>
  <si>
    <t>Fruchtiger Nudelsalat</t>
  </si>
  <si>
    <t>Putenschnitzel mit fruchtigem Reis - Curry</t>
  </si>
  <si>
    <t>Indischer Gemüsereis mit Mandarinen</t>
  </si>
  <si>
    <t>Ausgebackener Fisch mit süß - saurer Sauce</t>
  </si>
  <si>
    <t>Wassermelonen-Gazpacho</t>
  </si>
  <si>
    <t>Melonen-Gurken-Salat mit Minze und gerösteten Walnüssen</t>
  </si>
  <si>
    <t>Melonen - Schafskäse Salatschiffche</t>
  </si>
  <si>
    <t>Spanische Honigmelonensuppe</t>
  </si>
  <si>
    <t>Zwetschgen - Rohrnudeln</t>
  </si>
  <si>
    <t>Spätzli Tropical</t>
  </si>
  <si>
    <t>Kabeljau mit Roter Bete</t>
  </si>
  <si>
    <t>Winterlicher Maultaschensalat</t>
  </si>
  <si>
    <t>Gewürz - Entenschlegel mit Steckrübenpüree</t>
  </si>
  <si>
    <t>Schwalbennester mit zartem Gemüse</t>
  </si>
  <si>
    <t>Rotkrautwickel aus dem Backofen</t>
  </si>
  <si>
    <t>Gebratener Reis mit Hühnchen</t>
  </si>
  <si>
    <t>Grießbrei mit Getreidesprossen</t>
  </si>
  <si>
    <t>Spargel mit Poulet in Kokossauce</t>
  </si>
  <si>
    <t>Chinakohlpfanne mit Bandnudeln</t>
  </si>
  <si>
    <t>f(x) = [x^(1/3,3)] * 0,9 -2,26</t>
  </si>
  <si>
    <t>f(x) = [x^(1/3,5)] *0,95 -2,08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</si>
</sst>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4" fillId="2" borderId="0" xfId="0" applyFont="1" applyFill="1"/>
    <xf numFmtId="0" fontId="6" fillId="2" borderId="0" xfId="0" applyFon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1">
    <cellStyle name="Standard" xfId="0" builtinId="0"/>
  </cellStyles>
  <dxfs count="21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</dxfs>
  <tableStyles count="0" defaultTableStyle="TableStyleMedium2" defaultPivotStyle="PivotStyleLight16"/>
  <colors>
    <mruColors>
      <color rgb="FFF09918"/>
      <color rgb="FFFA5022"/>
      <color rgb="FFFFD700"/>
      <color rgb="FFBF8970"/>
      <color rgb="FFDEB77E"/>
      <color rgb="FFC09B00"/>
      <color rgb="FFB29B0E"/>
      <color rgb="FFD4A35A"/>
      <color rgb="FFB89D76"/>
      <color rgb="FF965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BF8970"/>
                  </a:gs>
                  <a:gs pos="100000">
                    <a:srgbClr val="BF8970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82-4A0D-856C-AAA0E11F3507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bg2">
                      <a:lumMod val="75000"/>
                    </a:schemeClr>
                  </a:gs>
                  <a:gs pos="100000">
                    <a:schemeClr val="bg1">
                      <a:lumMod val="75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282-4A0D-856C-AAA0E11F3507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D700"/>
                  </a:gs>
                  <a:gs pos="100000">
                    <a:srgbClr val="FFD700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82-4A0D-856C-AAA0E11F3507}"/>
              </c:ext>
            </c:extLst>
          </c:dPt>
          <c:cat>
            <c:strRef>
              <c:f>Zutaten_Analyse!$C$7:$C$9</c:f>
              <c:strCache>
                <c:ptCount val="3"/>
                <c:pt idx="0">
                  <c:v>Lebensmittel aus anderen Ländern</c:v>
                </c:pt>
                <c:pt idx="1">
                  <c:v>Lebensmittel aus Deutschland</c:v>
                </c:pt>
                <c:pt idx="2">
                  <c:v>Lebensmittel aus Bayern</c:v>
                </c:pt>
              </c:strCache>
            </c:strRef>
          </c:cat>
          <c:val>
            <c:numRef>
              <c:f>Zutaten_Analyse!$D$7:$D$9</c:f>
              <c:numCache>
                <c:formatCode>General</c:formatCode>
                <c:ptCount val="3"/>
                <c:pt idx="0">
                  <c:v>27</c:v>
                </c:pt>
                <c:pt idx="1">
                  <c:v>6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2-4A0D-856C-AAA0E11F3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959352"/>
        <c:axId val="756965912"/>
      </c:barChart>
      <c:catAx>
        <c:axId val="7569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6965912"/>
        <c:crosses val="autoZero"/>
        <c:auto val="1"/>
        <c:lblAlgn val="ctr"/>
        <c:lblOffset val="100"/>
        <c:noMultiLvlLbl val="0"/>
      </c:catAx>
      <c:valAx>
        <c:axId val="75696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695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Zutaten_Daten!$E$2</c:f>
              <c:strCache>
                <c:ptCount val="1"/>
                <c:pt idx="0">
                  <c:v>CO2 /100g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xVal>
            <c:strRef>
              <c:f>Zutaten_Daten!$C$3:$C$102</c:f>
              <c:strCache>
                <c:ptCount val="100"/>
                <c:pt idx="0">
                  <c:v>Rind</c:v>
                </c:pt>
                <c:pt idx="1">
                  <c:v>Schwein</c:v>
                </c:pt>
                <c:pt idx="2">
                  <c:v>Kalb</c:v>
                </c:pt>
                <c:pt idx="3">
                  <c:v>Huhn</c:v>
                </c:pt>
                <c:pt idx="4">
                  <c:v>Pute</c:v>
                </c:pt>
                <c:pt idx="5">
                  <c:v>Ente</c:v>
                </c:pt>
                <c:pt idx="6">
                  <c:v>Lamm</c:v>
                </c:pt>
                <c:pt idx="7">
                  <c:v>Wildfleisch</c:v>
                </c:pt>
                <c:pt idx="8">
                  <c:v>Wurst</c:v>
                </c:pt>
                <c:pt idx="9">
                  <c:v>Salami</c:v>
                </c:pt>
                <c:pt idx="10">
                  <c:v>Lachs</c:v>
                </c:pt>
                <c:pt idx="11">
                  <c:v>Forelle</c:v>
                </c:pt>
                <c:pt idx="12">
                  <c:v>Kabeljau</c:v>
                </c:pt>
                <c:pt idx="13">
                  <c:v>Thunfisch</c:v>
                </c:pt>
                <c:pt idx="14">
                  <c:v>Garnele</c:v>
                </c:pt>
                <c:pt idx="15">
                  <c:v>Muschel</c:v>
                </c:pt>
                <c:pt idx="16">
                  <c:v>Milch</c:v>
                </c:pt>
                <c:pt idx="17">
                  <c:v>Sojamilch</c:v>
                </c:pt>
                <c:pt idx="18">
                  <c:v>Käse</c:v>
                </c:pt>
                <c:pt idx="19">
                  <c:v>Sahne</c:v>
                </c:pt>
                <c:pt idx="20">
                  <c:v>Joghurt</c:v>
                </c:pt>
                <c:pt idx="21">
                  <c:v>Quark</c:v>
                </c:pt>
                <c:pt idx="22">
                  <c:v>Butter</c:v>
                </c:pt>
                <c:pt idx="23">
                  <c:v>Ziegenkäse</c:v>
                </c:pt>
                <c:pt idx="24">
                  <c:v>Parmesan</c:v>
                </c:pt>
                <c:pt idx="25">
                  <c:v>Mozzarella</c:v>
                </c:pt>
                <c:pt idx="26">
                  <c:v>Frischkäse</c:v>
                </c:pt>
                <c:pt idx="27">
                  <c:v>Gorgonzola</c:v>
                </c:pt>
                <c:pt idx="28">
                  <c:v>Ei</c:v>
                </c:pt>
                <c:pt idx="29">
                  <c:v>Honig</c:v>
                </c:pt>
                <c:pt idx="30">
                  <c:v>Mehl (Weizen)</c:v>
                </c:pt>
                <c:pt idx="31">
                  <c:v>Reis</c:v>
                </c:pt>
                <c:pt idx="32">
                  <c:v>Nudeln</c:v>
                </c:pt>
                <c:pt idx="33">
                  <c:v>Brot</c:v>
                </c:pt>
                <c:pt idx="34">
                  <c:v>Schokolade</c:v>
                </c:pt>
                <c:pt idx="35">
                  <c:v>Zucker</c:v>
                </c:pt>
                <c:pt idx="36">
                  <c:v>Apfelsaft</c:v>
                </c:pt>
                <c:pt idx="37">
                  <c:v>Ananas</c:v>
                </c:pt>
                <c:pt idx="38">
                  <c:v>Apfel</c:v>
                </c:pt>
                <c:pt idx="39">
                  <c:v>Aprikose</c:v>
                </c:pt>
                <c:pt idx="40">
                  <c:v>Avocado</c:v>
                </c:pt>
                <c:pt idx="41">
                  <c:v>Banane</c:v>
                </c:pt>
                <c:pt idx="42">
                  <c:v>Birne</c:v>
                </c:pt>
                <c:pt idx="43">
                  <c:v>Blaubeeren</c:v>
                </c:pt>
                <c:pt idx="44">
                  <c:v>Dattel</c:v>
                </c:pt>
                <c:pt idx="45">
                  <c:v>Erdbeere</c:v>
                </c:pt>
                <c:pt idx="46">
                  <c:v>Feige</c:v>
                </c:pt>
                <c:pt idx="47">
                  <c:v>Himbeere</c:v>
                </c:pt>
                <c:pt idx="48">
                  <c:v>Kirsche</c:v>
                </c:pt>
                <c:pt idx="49">
                  <c:v>Kiwi</c:v>
                </c:pt>
                <c:pt idx="50">
                  <c:v>Mandarine</c:v>
                </c:pt>
                <c:pt idx="51">
                  <c:v>Mango</c:v>
                </c:pt>
                <c:pt idx="52">
                  <c:v>Olive</c:v>
                </c:pt>
                <c:pt idx="53">
                  <c:v>Orange</c:v>
                </c:pt>
                <c:pt idx="54">
                  <c:v>Pfirsich</c:v>
                </c:pt>
                <c:pt idx="55">
                  <c:v>Pflaume</c:v>
                </c:pt>
                <c:pt idx="56">
                  <c:v>Wassermelone</c:v>
                </c:pt>
                <c:pt idx="57">
                  <c:v>Honigmelone</c:v>
                </c:pt>
                <c:pt idx="58">
                  <c:v>Zitrone</c:v>
                </c:pt>
                <c:pt idx="59">
                  <c:v>Zwetschge</c:v>
                </c:pt>
                <c:pt idx="60">
                  <c:v>Traube</c:v>
                </c:pt>
                <c:pt idx="61">
                  <c:v>Artischocke</c:v>
                </c:pt>
                <c:pt idx="62">
                  <c:v>Aubergine</c:v>
                </c:pt>
                <c:pt idx="63">
                  <c:v>Bohne</c:v>
                </c:pt>
                <c:pt idx="64">
                  <c:v>Blumenkohl</c:v>
                </c:pt>
                <c:pt idx="65">
                  <c:v>Brokkoli</c:v>
                </c:pt>
                <c:pt idx="66">
                  <c:v>Pilze</c:v>
                </c:pt>
                <c:pt idx="67">
                  <c:v>Erbse</c:v>
                </c:pt>
                <c:pt idx="68">
                  <c:v>Salat</c:v>
                </c:pt>
                <c:pt idx="69">
                  <c:v>Fenchel</c:v>
                </c:pt>
                <c:pt idx="70">
                  <c:v>Spitzkohl</c:v>
                </c:pt>
                <c:pt idx="71">
                  <c:v>Salatgurke</c:v>
                </c:pt>
                <c:pt idx="72">
                  <c:v>Kartoffel</c:v>
                </c:pt>
                <c:pt idx="73">
                  <c:v>Kichererbse</c:v>
                </c:pt>
                <c:pt idx="74">
                  <c:v>Knoblauch</c:v>
                </c:pt>
                <c:pt idx="75">
                  <c:v>Hokkaidokürbis</c:v>
                </c:pt>
                <c:pt idx="76">
                  <c:v>Linsen</c:v>
                </c:pt>
                <c:pt idx="77">
                  <c:v>Mais</c:v>
                </c:pt>
                <c:pt idx="78">
                  <c:v>Karotte</c:v>
                </c:pt>
                <c:pt idx="79">
                  <c:v>Paprika</c:v>
                </c:pt>
                <c:pt idx="80">
                  <c:v>Kohlrabi</c:v>
                </c:pt>
                <c:pt idx="81">
                  <c:v>Lauch</c:v>
                </c:pt>
                <c:pt idx="82">
                  <c:v>Rosenkohl</c:v>
                </c:pt>
                <c:pt idx="83">
                  <c:v>Rote Bete</c:v>
                </c:pt>
                <c:pt idx="84">
                  <c:v>Rotkohl</c:v>
                </c:pt>
                <c:pt idx="85">
                  <c:v>Sellerie</c:v>
                </c:pt>
                <c:pt idx="86">
                  <c:v>Sojasprossen</c:v>
                </c:pt>
                <c:pt idx="87">
                  <c:v>Spargel</c:v>
                </c:pt>
                <c:pt idx="88">
                  <c:v>Spinat</c:v>
                </c:pt>
                <c:pt idx="89">
                  <c:v>Süßkartoffel</c:v>
                </c:pt>
                <c:pt idx="90">
                  <c:v>Tomate</c:v>
                </c:pt>
                <c:pt idx="91">
                  <c:v>Zucchini</c:v>
                </c:pt>
                <c:pt idx="92">
                  <c:v>Zwiebel</c:v>
                </c:pt>
                <c:pt idx="93">
                  <c:v>Chili</c:v>
                </c:pt>
                <c:pt idx="94">
                  <c:v>Kokosnuss</c:v>
                </c:pt>
                <c:pt idx="95">
                  <c:v>Mandel</c:v>
                </c:pt>
                <c:pt idx="96">
                  <c:v>Erdnuss</c:v>
                </c:pt>
                <c:pt idx="97">
                  <c:v>Haselnuss</c:v>
                </c:pt>
                <c:pt idx="98">
                  <c:v>Walnuss</c:v>
                </c:pt>
                <c:pt idx="99">
                  <c:v>Cashewkern</c:v>
                </c:pt>
              </c:strCache>
            </c:strRef>
          </c:xVal>
          <c:yVal>
            <c:numRef>
              <c:f>Zutaten_Daten!$E$3:$E$102</c:f>
              <c:numCache>
                <c:formatCode>General</c:formatCode>
                <c:ptCount val="100"/>
                <c:pt idx="0" formatCode="#,##0">
                  <c:v>1360</c:v>
                </c:pt>
                <c:pt idx="1">
                  <c:v>460</c:v>
                </c:pt>
                <c:pt idx="2" formatCode="#,##0">
                  <c:v>1360</c:v>
                </c:pt>
                <c:pt idx="3">
                  <c:v>550</c:v>
                </c:pt>
                <c:pt idx="4">
                  <c:v>620</c:v>
                </c:pt>
                <c:pt idx="5">
                  <c:v>207</c:v>
                </c:pt>
                <c:pt idx="6">
                  <c:v>1706</c:v>
                </c:pt>
                <c:pt idx="7" formatCode="#,##0">
                  <c:v>1150</c:v>
                </c:pt>
                <c:pt idx="8">
                  <c:v>290</c:v>
                </c:pt>
                <c:pt idx="9">
                  <c:v>790</c:v>
                </c:pt>
                <c:pt idx="10" formatCode="#,##0">
                  <c:v>1000</c:v>
                </c:pt>
                <c:pt idx="11">
                  <c:v>240</c:v>
                </c:pt>
                <c:pt idx="12">
                  <c:v>250</c:v>
                </c:pt>
                <c:pt idx="13">
                  <c:v>40</c:v>
                </c:pt>
                <c:pt idx="14" formatCode="#,##0">
                  <c:v>1250</c:v>
                </c:pt>
                <c:pt idx="15">
                  <c:v>120</c:v>
                </c:pt>
                <c:pt idx="16">
                  <c:v>140</c:v>
                </c:pt>
                <c:pt idx="17">
                  <c:v>42</c:v>
                </c:pt>
                <c:pt idx="18">
                  <c:v>550</c:v>
                </c:pt>
                <c:pt idx="19">
                  <c:v>420</c:v>
                </c:pt>
                <c:pt idx="20">
                  <c:v>170</c:v>
                </c:pt>
                <c:pt idx="21">
                  <c:v>330</c:v>
                </c:pt>
                <c:pt idx="22">
                  <c:v>900</c:v>
                </c:pt>
                <c:pt idx="23">
                  <c:v>570</c:v>
                </c:pt>
                <c:pt idx="24">
                  <c:v>630</c:v>
                </c:pt>
                <c:pt idx="25">
                  <c:v>570</c:v>
                </c:pt>
                <c:pt idx="26">
                  <c:v>690</c:v>
                </c:pt>
                <c:pt idx="27">
                  <c:v>570</c:v>
                </c:pt>
                <c:pt idx="28">
                  <c:v>300</c:v>
                </c:pt>
                <c:pt idx="29">
                  <c:v>200</c:v>
                </c:pt>
                <c:pt idx="30">
                  <c:v>30</c:v>
                </c:pt>
                <c:pt idx="31">
                  <c:v>310</c:v>
                </c:pt>
                <c:pt idx="32">
                  <c:v>70</c:v>
                </c:pt>
                <c:pt idx="33">
                  <c:v>60</c:v>
                </c:pt>
                <c:pt idx="34">
                  <c:v>410</c:v>
                </c:pt>
                <c:pt idx="35">
                  <c:v>70</c:v>
                </c:pt>
                <c:pt idx="36">
                  <c:v>40</c:v>
                </c:pt>
                <c:pt idx="37">
                  <c:v>90</c:v>
                </c:pt>
                <c:pt idx="38">
                  <c:v>30</c:v>
                </c:pt>
                <c:pt idx="39">
                  <c:v>30</c:v>
                </c:pt>
                <c:pt idx="40">
                  <c:v>60</c:v>
                </c:pt>
                <c:pt idx="41">
                  <c:v>60</c:v>
                </c:pt>
                <c:pt idx="42">
                  <c:v>30</c:v>
                </c:pt>
                <c:pt idx="43">
                  <c:v>30</c:v>
                </c:pt>
                <c:pt idx="44">
                  <c:v>394</c:v>
                </c:pt>
                <c:pt idx="45">
                  <c:v>30</c:v>
                </c:pt>
                <c:pt idx="46">
                  <c:v>90</c:v>
                </c:pt>
                <c:pt idx="47">
                  <c:v>120</c:v>
                </c:pt>
                <c:pt idx="48">
                  <c:v>20</c:v>
                </c:pt>
                <c:pt idx="49">
                  <c:v>70</c:v>
                </c:pt>
                <c:pt idx="50">
                  <c:v>30</c:v>
                </c:pt>
                <c:pt idx="51">
                  <c:v>170</c:v>
                </c:pt>
                <c:pt idx="52">
                  <c:v>150</c:v>
                </c:pt>
                <c:pt idx="53">
                  <c:v>30</c:v>
                </c:pt>
                <c:pt idx="54">
                  <c:v>20</c:v>
                </c:pt>
                <c:pt idx="55">
                  <c:v>20</c:v>
                </c:pt>
                <c:pt idx="56">
                  <c:v>40</c:v>
                </c:pt>
                <c:pt idx="57">
                  <c:v>87</c:v>
                </c:pt>
                <c:pt idx="58">
                  <c:v>40</c:v>
                </c:pt>
                <c:pt idx="59">
                  <c:v>20</c:v>
                </c:pt>
                <c:pt idx="60">
                  <c:v>40</c:v>
                </c:pt>
                <c:pt idx="61">
                  <c:v>130</c:v>
                </c:pt>
                <c:pt idx="62">
                  <c:v>20</c:v>
                </c:pt>
                <c:pt idx="63">
                  <c:v>80</c:v>
                </c:pt>
                <c:pt idx="64">
                  <c:v>20</c:v>
                </c:pt>
                <c:pt idx="65">
                  <c:v>30</c:v>
                </c:pt>
                <c:pt idx="66">
                  <c:v>130</c:v>
                </c:pt>
                <c:pt idx="67">
                  <c:v>120</c:v>
                </c:pt>
                <c:pt idx="68">
                  <c:v>30</c:v>
                </c:pt>
                <c:pt idx="69">
                  <c:v>20</c:v>
                </c:pt>
                <c:pt idx="70">
                  <c:v>30</c:v>
                </c:pt>
                <c:pt idx="71">
                  <c:v>40</c:v>
                </c:pt>
                <c:pt idx="72">
                  <c:v>20</c:v>
                </c:pt>
                <c:pt idx="73">
                  <c:v>130</c:v>
                </c:pt>
                <c:pt idx="74">
                  <c:v>95</c:v>
                </c:pt>
                <c:pt idx="75">
                  <c:v>20</c:v>
                </c:pt>
                <c:pt idx="76">
                  <c:v>120</c:v>
                </c:pt>
                <c:pt idx="77">
                  <c:v>120</c:v>
                </c:pt>
                <c:pt idx="78">
                  <c:v>10</c:v>
                </c:pt>
                <c:pt idx="79">
                  <c:v>60</c:v>
                </c:pt>
                <c:pt idx="80">
                  <c:v>40</c:v>
                </c:pt>
                <c:pt idx="81">
                  <c:v>20</c:v>
                </c:pt>
                <c:pt idx="82">
                  <c:v>30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389</c:v>
                </c:pt>
                <c:pt idx="87">
                  <c:v>70</c:v>
                </c:pt>
                <c:pt idx="88">
                  <c:v>20</c:v>
                </c:pt>
                <c:pt idx="89">
                  <c:v>40</c:v>
                </c:pt>
                <c:pt idx="90">
                  <c:v>80</c:v>
                </c:pt>
                <c:pt idx="91">
                  <c:v>20</c:v>
                </c:pt>
                <c:pt idx="92">
                  <c:v>20</c:v>
                </c:pt>
                <c:pt idx="93">
                  <c:v>41</c:v>
                </c:pt>
                <c:pt idx="94">
                  <c:v>294</c:v>
                </c:pt>
                <c:pt idx="95">
                  <c:v>576</c:v>
                </c:pt>
                <c:pt idx="96">
                  <c:v>80</c:v>
                </c:pt>
                <c:pt idx="97">
                  <c:v>451</c:v>
                </c:pt>
                <c:pt idx="98">
                  <c:v>90</c:v>
                </c:pt>
                <c:pt idx="99">
                  <c:v>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07-4A5B-9607-E101EAB44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101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Zutaten_Daten!$F$2</c:f>
              <c:strCache>
                <c:ptCount val="1"/>
                <c:pt idx="0">
                  <c:v>CO2 Normallisiert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dPt>
            <c:idx val="52"/>
            <c:marker>
              <c:symbol val="circle"/>
              <c:size val="5"/>
              <c:spPr>
                <a:solidFill>
                  <a:schemeClr val="dk1">
                    <a:tint val="88500"/>
                  </a:schemeClr>
                </a:solidFill>
                <a:ln w="9525">
                  <a:solidFill>
                    <a:schemeClr val="dk1">
                      <a:tint val="885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B6B-4E25-9EFB-FDBE06C24F5E}"/>
              </c:ext>
            </c:extLst>
          </c:dPt>
          <c:xVal>
            <c:strRef>
              <c:f>Zutaten_Daten!$C$3:$C$103</c:f>
              <c:strCache>
                <c:ptCount val="100"/>
                <c:pt idx="0">
                  <c:v>Rind</c:v>
                </c:pt>
                <c:pt idx="1">
                  <c:v>Schwein</c:v>
                </c:pt>
                <c:pt idx="2">
                  <c:v>Kalb</c:v>
                </c:pt>
                <c:pt idx="3">
                  <c:v>Huhn</c:v>
                </c:pt>
                <c:pt idx="4">
                  <c:v>Pute</c:v>
                </c:pt>
                <c:pt idx="5">
                  <c:v>Ente</c:v>
                </c:pt>
                <c:pt idx="6">
                  <c:v>Lamm</c:v>
                </c:pt>
                <c:pt idx="7">
                  <c:v>Wildfleisch</c:v>
                </c:pt>
                <c:pt idx="8">
                  <c:v>Wurst</c:v>
                </c:pt>
                <c:pt idx="9">
                  <c:v>Salami</c:v>
                </c:pt>
                <c:pt idx="10">
                  <c:v>Lachs</c:v>
                </c:pt>
                <c:pt idx="11">
                  <c:v>Forelle</c:v>
                </c:pt>
                <c:pt idx="12">
                  <c:v>Kabeljau</c:v>
                </c:pt>
                <c:pt idx="13">
                  <c:v>Thunfisch</c:v>
                </c:pt>
                <c:pt idx="14">
                  <c:v>Garnele</c:v>
                </c:pt>
                <c:pt idx="15">
                  <c:v>Muschel</c:v>
                </c:pt>
                <c:pt idx="16">
                  <c:v>Milch</c:v>
                </c:pt>
                <c:pt idx="17">
                  <c:v>Sojamilch</c:v>
                </c:pt>
                <c:pt idx="18">
                  <c:v>Käse</c:v>
                </c:pt>
                <c:pt idx="19">
                  <c:v>Sahne</c:v>
                </c:pt>
                <c:pt idx="20">
                  <c:v>Joghurt</c:v>
                </c:pt>
                <c:pt idx="21">
                  <c:v>Quark</c:v>
                </c:pt>
                <c:pt idx="22">
                  <c:v>Butter</c:v>
                </c:pt>
                <c:pt idx="23">
                  <c:v>Ziegenkäse</c:v>
                </c:pt>
                <c:pt idx="24">
                  <c:v>Parmesan</c:v>
                </c:pt>
                <c:pt idx="25">
                  <c:v>Mozzarella</c:v>
                </c:pt>
                <c:pt idx="26">
                  <c:v>Frischkäse</c:v>
                </c:pt>
                <c:pt idx="27">
                  <c:v>Gorgonzola</c:v>
                </c:pt>
                <c:pt idx="28">
                  <c:v>Ei</c:v>
                </c:pt>
                <c:pt idx="29">
                  <c:v>Honig</c:v>
                </c:pt>
                <c:pt idx="30">
                  <c:v>Mehl (Weizen)</c:v>
                </c:pt>
                <c:pt idx="31">
                  <c:v>Reis</c:v>
                </c:pt>
                <c:pt idx="32">
                  <c:v>Nudeln</c:v>
                </c:pt>
                <c:pt idx="33">
                  <c:v>Brot</c:v>
                </c:pt>
                <c:pt idx="34">
                  <c:v>Schokolade</c:v>
                </c:pt>
                <c:pt idx="35">
                  <c:v>Zucker</c:v>
                </c:pt>
                <c:pt idx="36">
                  <c:v>Apfelsaft</c:v>
                </c:pt>
                <c:pt idx="37">
                  <c:v>Ananas</c:v>
                </c:pt>
                <c:pt idx="38">
                  <c:v>Apfel</c:v>
                </c:pt>
                <c:pt idx="39">
                  <c:v>Aprikose</c:v>
                </c:pt>
                <c:pt idx="40">
                  <c:v>Avocado</c:v>
                </c:pt>
                <c:pt idx="41">
                  <c:v>Banane</c:v>
                </c:pt>
                <c:pt idx="42">
                  <c:v>Birne</c:v>
                </c:pt>
                <c:pt idx="43">
                  <c:v>Blaubeeren</c:v>
                </c:pt>
                <c:pt idx="44">
                  <c:v>Dattel</c:v>
                </c:pt>
                <c:pt idx="45">
                  <c:v>Erdbeere</c:v>
                </c:pt>
                <c:pt idx="46">
                  <c:v>Feige</c:v>
                </c:pt>
                <c:pt idx="47">
                  <c:v>Himbeere</c:v>
                </c:pt>
                <c:pt idx="48">
                  <c:v>Kirsche</c:v>
                </c:pt>
                <c:pt idx="49">
                  <c:v>Kiwi</c:v>
                </c:pt>
                <c:pt idx="50">
                  <c:v>Mandarine</c:v>
                </c:pt>
                <c:pt idx="51">
                  <c:v>Mango</c:v>
                </c:pt>
                <c:pt idx="52">
                  <c:v>Olive</c:v>
                </c:pt>
                <c:pt idx="53">
                  <c:v>Orange</c:v>
                </c:pt>
                <c:pt idx="54">
                  <c:v>Pfirsich</c:v>
                </c:pt>
                <c:pt idx="55">
                  <c:v>Pflaume</c:v>
                </c:pt>
                <c:pt idx="56">
                  <c:v>Wassermelone</c:v>
                </c:pt>
                <c:pt idx="57">
                  <c:v>Honigmelone</c:v>
                </c:pt>
                <c:pt idx="58">
                  <c:v>Zitrone</c:v>
                </c:pt>
                <c:pt idx="59">
                  <c:v>Zwetschge</c:v>
                </c:pt>
                <c:pt idx="60">
                  <c:v>Traube</c:v>
                </c:pt>
                <c:pt idx="61">
                  <c:v>Artischocke</c:v>
                </c:pt>
                <c:pt idx="62">
                  <c:v>Aubergine</c:v>
                </c:pt>
                <c:pt idx="63">
                  <c:v>Bohne</c:v>
                </c:pt>
                <c:pt idx="64">
                  <c:v>Blumenkohl</c:v>
                </c:pt>
                <c:pt idx="65">
                  <c:v>Brokkoli</c:v>
                </c:pt>
                <c:pt idx="66">
                  <c:v>Pilze</c:v>
                </c:pt>
                <c:pt idx="67">
                  <c:v>Erbse</c:v>
                </c:pt>
                <c:pt idx="68">
                  <c:v>Salat</c:v>
                </c:pt>
                <c:pt idx="69">
                  <c:v>Fenchel</c:v>
                </c:pt>
                <c:pt idx="70">
                  <c:v>Spitzkohl</c:v>
                </c:pt>
                <c:pt idx="71">
                  <c:v>Salatgurke</c:v>
                </c:pt>
                <c:pt idx="72">
                  <c:v>Kartoffel</c:v>
                </c:pt>
                <c:pt idx="73">
                  <c:v>Kichererbse</c:v>
                </c:pt>
                <c:pt idx="74">
                  <c:v>Knoblauch</c:v>
                </c:pt>
                <c:pt idx="75">
                  <c:v>Hokkaidokürbis</c:v>
                </c:pt>
                <c:pt idx="76">
                  <c:v>Linsen</c:v>
                </c:pt>
                <c:pt idx="77">
                  <c:v>Mais</c:v>
                </c:pt>
                <c:pt idx="78">
                  <c:v>Karotte</c:v>
                </c:pt>
                <c:pt idx="79">
                  <c:v>Paprika</c:v>
                </c:pt>
                <c:pt idx="80">
                  <c:v>Kohlrabi</c:v>
                </c:pt>
                <c:pt idx="81">
                  <c:v>Lauch</c:v>
                </c:pt>
                <c:pt idx="82">
                  <c:v>Rosenkohl</c:v>
                </c:pt>
                <c:pt idx="83">
                  <c:v>Rote Bete</c:v>
                </c:pt>
                <c:pt idx="84">
                  <c:v>Rotkohl</c:v>
                </c:pt>
                <c:pt idx="85">
                  <c:v>Sellerie</c:v>
                </c:pt>
                <c:pt idx="86">
                  <c:v>Sojasprossen</c:v>
                </c:pt>
                <c:pt idx="87">
                  <c:v>Spargel</c:v>
                </c:pt>
                <c:pt idx="88">
                  <c:v>Spinat</c:v>
                </c:pt>
                <c:pt idx="89">
                  <c:v>Süßkartoffel</c:v>
                </c:pt>
                <c:pt idx="90">
                  <c:v>Tomate</c:v>
                </c:pt>
                <c:pt idx="91">
                  <c:v>Zucchini</c:v>
                </c:pt>
                <c:pt idx="92">
                  <c:v>Zwiebel</c:v>
                </c:pt>
                <c:pt idx="93">
                  <c:v>Chili</c:v>
                </c:pt>
                <c:pt idx="94">
                  <c:v>Kokosnuss</c:v>
                </c:pt>
                <c:pt idx="95">
                  <c:v>Mandel</c:v>
                </c:pt>
                <c:pt idx="96">
                  <c:v>Erdnuss</c:v>
                </c:pt>
                <c:pt idx="97">
                  <c:v>Haselnuss</c:v>
                </c:pt>
                <c:pt idx="98">
                  <c:v>Walnuss</c:v>
                </c:pt>
                <c:pt idx="99">
                  <c:v>Cashewkern</c:v>
                </c:pt>
              </c:strCache>
            </c:strRef>
          </c:xVal>
          <c:yVal>
            <c:numRef>
              <c:f>Zutaten_Daten!$F$3:$F$103</c:f>
              <c:numCache>
                <c:formatCode>General</c:formatCode>
                <c:ptCount val="101"/>
                <c:pt idx="0">
                  <c:v>5.9577250977373328</c:v>
                </c:pt>
                <c:pt idx="1">
                  <c:v>3.864849208447652</c:v>
                </c:pt>
                <c:pt idx="2">
                  <c:v>5.9577250977373328</c:v>
                </c:pt>
                <c:pt idx="3">
                  <c:v>4.1668152312295224</c:v>
                </c:pt>
                <c:pt idx="4">
                  <c:v>4.3780706253321888</c:v>
                </c:pt>
                <c:pt idx="5">
                  <c:v>2.6888706173564478</c:v>
                </c:pt>
                <c:pt idx="6">
                  <c:v>6.4834461509561763</c:v>
                </c:pt>
                <c:pt idx="7">
                  <c:v>5.5900565604249994</c:v>
                </c:pt>
                <c:pt idx="8">
                  <c:v>3.1529184032214261</c:v>
                </c:pt>
                <c:pt idx="9">
                  <c:v>4.8281157535710761</c:v>
                </c:pt>
                <c:pt idx="10">
                  <c:v>5.2968567300115197</c:v>
                </c:pt>
                <c:pt idx="11">
                  <c:v>2.8869661312819663</c:v>
                </c:pt>
                <c:pt idx="12">
                  <c:v>2.9431254296349851</c:v>
                </c:pt>
                <c:pt idx="13">
                  <c:v>0.96900579917018614</c:v>
                </c:pt>
                <c:pt idx="14">
                  <c:v>5.7706370231719539</c:v>
                </c:pt>
                <c:pt idx="15">
                  <c:v>2.0269175655016967</c:v>
                </c:pt>
                <c:pt idx="16">
                  <c:v>2.2037362327525982</c:v>
                </c:pt>
                <c:pt idx="17">
                  <c:v>1.009279934060797</c:v>
                </c:pt>
                <c:pt idx="18">
                  <c:v>4.1668152312295224</c:v>
                </c:pt>
                <c:pt idx="19">
                  <c:v>3.7169401613767916</c:v>
                </c:pt>
                <c:pt idx="20">
                  <c:v>2.4378159408716606</c:v>
                </c:pt>
                <c:pt idx="21">
                  <c:v>3.3429463222822</c:v>
                </c:pt>
                <c:pt idx="22">
                  <c:v>5.0834381068135031</c:v>
                </c:pt>
                <c:pt idx="23">
                  <c:v>4.2290450834542685</c:v>
                </c:pt>
                <c:pt idx="24">
                  <c:v>4.4068366913598336</c:v>
                </c:pt>
                <c:pt idx="25">
                  <c:v>4.2290450834542685</c:v>
                </c:pt>
                <c:pt idx="26">
                  <c:v>4.5729125579793397</c:v>
                </c:pt>
                <c:pt idx="27">
                  <c:v>4.2290450834542685</c:v>
                </c:pt>
                <c:pt idx="28">
                  <c:v>3.2020995710752316</c:v>
                </c:pt>
                <c:pt idx="29">
                  <c:v>2.6439876423907696</c:v>
                </c:pt>
                <c:pt idx="30">
                  <c:v>0.74261955393005863</c:v>
                </c:pt>
                <c:pt idx="31">
                  <c:v>3.2501233014729745</c:v>
                </c:pt>
                <c:pt idx="32">
                  <c:v>1.4664399234565457</c:v>
                </c:pt>
                <c:pt idx="33">
                  <c:v>1.3213893191084813</c:v>
                </c:pt>
                <c:pt idx="34">
                  <c:v>3.6784002716872597</c:v>
                </c:pt>
                <c:pt idx="35">
                  <c:v>1.4664399234565457</c:v>
                </c:pt>
                <c:pt idx="36">
                  <c:v>0.96900579917018614</c:v>
                </c:pt>
                <c:pt idx="37">
                  <c:v>1.7170540848218878</c:v>
                </c:pt>
                <c:pt idx="38">
                  <c:v>0.74261955393005863</c:v>
                </c:pt>
                <c:pt idx="39">
                  <c:v>0.74261955393005863</c:v>
                </c:pt>
                <c:pt idx="40">
                  <c:v>1.3213893191084813</c:v>
                </c:pt>
                <c:pt idx="41">
                  <c:v>1.3213893191084813</c:v>
                </c:pt>
                <c:pt idx="42">
                  <c:v>0.74261955393005863</c:v>
                </c:pt>
                <c:pt idx="43">
                  <c:v>0.74261955393005863</c:v>
                </c:pt>
                <c:pt idx="44">
                  <c:v>3.6153153485671683</c:v>
                </c:pt>
                <c:pt idx="45">
                  <c:v>0.74261955393005863</c:v>
                </c:pt>
                <c:pt idx="46">
                  <c:v>1.7170540848218878</c:v>
                </c:pt>
                <c:pt idx="47">
                  <c:v>2.0269175655016967</c:v>
                </c:pt>
                <c:pt idx="48">
                  <c:v>0.45354689365025225</c:v>
                </c:pt>
                <c:pt idx="49">
                  <c:v>1.4664399234565457</c:v>
                </c:pt>
                <c:pt idx="50">
                  <c:v>0.74261955393005863</c:v>
                </c:pt>
                <c:pt idx="51">
                  <c:v>2.4378159408716606</c:v>
                </c:pt>
                <c:pt idx="52">
                  <c:v>2.2854326680244168</c:v>
                </c:pt>
                <c:pt idx="53">
                  <c:v>0.74261955393005863</c:v>
                </c:pt>
                <c:pt idx="54">
                  <c:v>0.45354689365025225</c:v>
                </c:pt>
                <c:pt idx="55">
                  <c:v>0.45354689365025225</c:v>
                </c:pt>
                <c:pt idx="56">
                  <c:v>0.96900579917018614</c:v>
                </c:pt>
                <c:pt idx="57">
                  <c:v>1.6821878612988486</c:v>
                </c:pt>
                <c:pt idx="58">
                  <c:v>0.96900579917018614</c:v>
                </c:pt>
                <c:pt idx="59">
                  <c:v>0.45354689365025225</c:v>
                </c:pt>
                <c:pt idx="60">
                  <c:v>0.96900579917018614</c:v>
                </c:pt>
                <c:pt idx="61">
                  <c:v>2.1177583740224546</c:v>
                </c:pt>
                <c:pt idx="62">
                  <c:v>0.45354689365025225</c:v>
                </c:pt>
                <c:pt idx="63">
                  <c:v>1.5973572431802796</c:v>
                </c:pt>
                <c:pt idx="64">
                  <c:v>0.45354689365025225</c:v>
                </c:pt>
                <c:pt idx="65">
                  <c:v>0.74261955393005863</c:v>
                </c:pt>
                <c:pt idx="66">
                  <c:v>2.1177583740224546</c:v>
                </c:pt>
                <c:pt idx="67">
                  <c:v>2.0269175655016967</c:v>
                </c:pt>
                <c:pt idx="68">
                  <c:v>0.74261955393005863</c:v>
                </c:pt>
                <c:pt idx="69">
                  <c:v>0.45354689365025225</c:v>
                </c:pt>
                <c:pt idx="70">
                  <c:v>0.74261955393005863</c:v>
                </c:pt>
                <c:pt idx="71">
                  <c:v>0.96900579917018614</c:v>
                </c:pt>
                <c:pt idx="72">
                  <c:v>0.45354689365025225</c:v>
                </c:pt>
                <c:pt idx="73">
                  <c:v>2.1177583740224546</c:v>
                </c:pt>
                <c:pt idx="74">
                  <c:v>1.7733633381894607</c:v>
                </c:pt>
                <c:pt idx="75">
                  <c:v>0.45354689365025225</c:v>
                </c:pt>
                <c:pt idx="76">
                  <c:v>2.0269175655016967</c:v>
                </c:pt>
                <c:pt idx="77">
                  <c:v>2.0269175655016967</c:v>
                </c:pt>
                <c:pt idx="78">
                  <c:v>3.0697728883250175E-2</c:v>
                </c:pt>
                <c:pt idx="79">
                  <c:v>1.3213893191084813</c:v>
                </c:pt>
                <c:pt idx="80">
                  <c:v>0.96900579917018614</c:v>
                </c:pt>
                <c:pt idx="81">
                  <c:v>0.45354689365025225</c:v>
                </c:pt>
                <c:pt idx="82">
                  <c:v>0.74261955393005863</c:v>
                </c:pt>
                <c:pt idx="83">
                  <c:v>0.45354689365025225</c:v>
                </c:pt>
                <c:pt idx="84">
                  <c:v>0.45354689365025225</c:v>
                </c:pt>
                <c:pt idx="85">
                  <c:v>0.45354689365025225</c:v>
                </c:pt>
                <c:pt idx="86">
                  <c:v>3.5952265338838747</c:v>
                </c:pt>
                <c:pt idx="87">
                  <c:v>1.4664399234565457</c:v>
                </c:pt>
                <c:pt idx="88">
                  <c:v>0.45354689365025225</c:v>
                </c:pt>
                <c:pt idx="89">
                  <c:v>0.96900579917018614</c:v>
                </c:pt>
                <c:pt idx="90">
                  <c:v>1.5973572431802796</c:v>
                </c:pt>
                <c:pt idx="91">
                  <c:v>0.45354689365025225</c:v>
                </c:pt>
                <c:pt idx="92">
                  <c:v>0.45354689365025225</c:v>
                </c:pt>
                <c:pt idx="93">
                  <c:v>0.98931829578206676</c:v>
                </c:pt>
                <c:pt idx="94">
                  <c:v>3.1727340546457614</c:v>
                </c:pt>
                <c:pt idx="95">
                  <c:v>4.2474094178119213</c:v>
                </c:pt>
                <c:pt idx="96">
                  <c:v>1.5973572431802796</c:v>
                </c:pt>
                <c:pt idx="97">
                  <c:v>3.8323956111066431</c:v>
                </c:pt>
                <c:pt idx="98">
                  <c:v>1.7170540848218878</c:v>
                </c:pt>
                <c:pt idx="99">
                  <c:v>4.95874685377159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2-4C76-A513-C0DB4C14E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101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  <c:max val="6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26A-44AC-886B-0A13B87994C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6A-44AC-886B-0A13B87994C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26A-44AC-886B-0A13B87994C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6A-44AC-886B-0A13B87994C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26A-44AC-886B-0A13B87994C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6A-44AC-886B-0A13B87994C7}"/>
              </c:ext>
            </c:extLst>
          </c:dPt>
          <c:dPt>
            <c:idx val="6"/>
            <c:invertIfNegative val="0"/>
            <c:bubble3D val="0"/>
            <c:spPr>
              <a:solidFill>
                <a:srgbClr val="F0991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26A-44AC-886B-0A13B87994C7}"/>
              </c:ext>
            </c:extLst>
          </c:dPt>
          <c:dPt>
            <c:idx val="7"/>
            <c:invertIfNegative val="0"/>
            <c:bubble3D val="0"/>
            <c:spPr>
              <a:solidFill>
                <a:srgbClr val="FA50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6A-44AC-886B-0A13B87994C7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26A-44AC-886B-0A13B87994C7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6A-44AC-886B-0A13B87994C7}"/>
              </c:ext>
            </c:extLst>
          </c:dPt>
          <c:cat>
            <c:numRef>
              <c:f>Zutaten_Analyse!$E$52:$E$61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Zutaten_Analyse!$D$52:$D$61</c:f>
              <c:numCache>
                <c:formatCode>General</c:formatCode>
                <c:ptCount val="10"/>
                <c:pt idx="0">
                  <c:v>17</c:v>
                </c:pt>
                <c:pt idx="1">
                  <c:v>21</c:v>
                </c:pt>
                <c:pt idx="2">
                  <c:v>9</c:v>
                </c:pt>
                <c:pt idx="3">
                  <c:v>8</c:v>
                </c:pt>
                <c:pt idx="4">
                  <c:v>12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A-44AC-886B-0A13B8799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192768"/>
        <c:axId val="725193096"/>
      </c:barChart>
      <c:catAx>
        <c:axId val="72519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3096"/>
        <c:crosses val="autoZero"/>
        <c:auto val="1"/>
        <c:lblAlgn val="ctr"/>
        <c:lblOffset val="100"/>
        <c:noMultiLvlLbl val="0"/>
      </c:catAx>
      <c:valAx>
        <c:axId val="7251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Zutaten_Daten!$H$2</c:f>
              <c:strCache>
                <c:ptCount val="1"/>
                <c:pt idx="0">
                  <c:v>Wasser / 100g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Zutaten_Daten!$C$3:$C$102</c:f>
              <c:strCache>
                <c:ptCount val="100"/>
                <c:pt idx="0">
                  <c:v>Rind</c:v>
                </c:pt>
                <c:pt idx="1">
                  <c:v>Schwein</c:v>
                </c:pt>
                <c:pt idx="2">
                  <c:v>Kalb</c:v>
                </c:pt>
                <c:pt idx="3">
                  <c:v>Huhn</c:v>
                </c:pt>
                <c:pt idx="4">
                  <c:v>Pute</c:v>
                </c:pt>
                <c:pt idx="5">
                  <c:v>Ente</c:v>
                </c:pt>
                <c:pt idx="6">
                  <c:v>Lamm</c:v>
                </c:pt>
                <c:pt idx="7">
                  <c:v>Wildfleisch</c:v>
                </c:pt>
                <c:pt idx="8">
                  <c:v>Wurst</c:v>
                </c:pt>
                <c:pt idx="9">
                  <c:v>Salami</c:v>
                </c:pt>
                <c:pt idx="10">
                  <c:v>Lachs</c:v>
                </c:pt>
                <c:pt idx="11">
                  <c:v>Forelle</c:v>
                </c:pt>
                <c:pt idx="12">
                  <c:v>Kabeljau</c:v>
                </c:pt>
                <c:pt idx="13">
                  <c:v>Thunfisch</c:v>
                </c:pt>
                <c:pt idx="14">
                  <c:v>Garnele</c:v>
                </c:pt>
                <c:pt idx="15">
                  <c:v>Muschel</c:v>
                </c:pt>
                <c:pt idx="16">
                  <c:v>Milch</c:v>
                </c:pt>
                <c:pt idx="17">
                  <c:v>Sojamilch</c:v>
                </c:pt>
                <c:pt idx="18">
                  <c:v>Käse</c:v>
                </c:pt>
                <c:pt idx="19">
                  <c:v>Sahne</c:v>
                </c:pt>
                <c:pt idx="20">
                  <c:v>Joghurt</c:v>
                </c:pt>
                <c:pt idx="21">
                  <c:v>Quark</c:v>
                </c:pt>
                <c:pt idx="22">
                  <c:v>Butter</c:v>
                </c:pt>
                <c:pt idx="23">
                  <c:v>Ziegenkäse</c:v>
                </c:pt>
                <c:pt idx="24">
                  <c:v>Parmesan</c:v>
                </c:pt>
                <c:pt idx="25">
                  <c:v>Mozzarella</c:v>
                </c:pt>
                <c:pt idx="26">
                  <c:v>Frischkäse</c:v>
                </c:pt>
                <c:pt idx="27">
                  <c:v>Gorgonzola</c:v>
                </c:pt>
                <c:pt idx="28">
                  <c:v>Ei</c:v>
                </c:pt>
                <c:pt idx="29">
                  <c:v>Honig</c:v>
                </c:pt>
                <c:pt idx="30">
                  <c:v>Mehl (Weizen)</c:v>
                </c:pt>
                <c:pt idx="31">
                  <c:v>Reis</c:v>
                </c:pt>
                <c:pt idx="32">
                  <c:v>Nudeln</c:v>
                </c:pt>
                <c:pt idx="33">
                  <c:v>Brot</c:v>
                </c:pt>
                <c:pt idx="34">
                  <c:v>Schokolade</c:v>
                </c:pt>
                <c:pt idx="35">
                  <c:v>Zucker</c:v>
                </c:pt>
                <c:pt idx="36">
                  <c:v>Apfelsaft</c:v>
                </c:pt>
                <c:pt idx="37">
                  <c:v>Ananas</c:v>
                </c:pt>
                <c:pt idx="38">
                  <c:v>Apfel</c:v>
                </c:pt>
                <c:pt idx="39">
                  <c:v>Aprikose</c:v>
                </c:pt>
                <c:pt idx="40">
                  <c:v>Avocado</c:v>
                </c:pt>
                <c:pt idx="41">
                  <c:v>Banane</c:v>
                </c:pt>
                <c:pt idx="42">
                  <c:v>Birne</c:v>
                </c:pt>
                <c:pt idx="43">
                  <c:v>Blaubeeren</c:v>
                </c:pt>
                <c:pt idx="44">
                  <c:v>Dattel</c:v>
                </c:pt>
                <c:pt idx="45">
                  <c:v>Erdbeere</c:v>
                </c:pt>
                <c:pt idx="46">
                  <c:v>Feige</c:v>
                </c:pt>
                <c:pt idx="47">
                  <c:v>Himbeere</c:v>
                </c:pt>
                <c:pt idx="48">
                  <c:v>Kirsche</c:v>
                </c:pt>
                <c:pt idx="49">
                  <c:v>Kiwi</c:v>
                </c:pt>
                <c:pt idx="50">
                  <c:v>Mandarine</c:v>
                </c:pt>
                <c:pt idx="51">
                  <c:v>Mango</c:v>
                </c:pt>
                <c:pt idx="52">
                  <c:v>Olive</c:v>
                </c:pt>
                <c:pt idx="53">
                  <c:v>Orange</c:v>
                </c:pt>
                <c:pt idx="54">
                  <c:v>Pfirsich</c:v>
                </c:pt>
                <c:pt idx="55">
                  <c:v>Pflaume</c:v>
                </c:pt>
                <c:pt idx="56">
                  <c:v>Wassermelone</c:v>
                </c:pt>
                <c:pt idx="57">
                  <c:v>Honigmelone</c:v>
                </c:pt>
                <c:pt idx="58">
                  <c:v>Zitrone</c:v>
                </c:pt>
                <c:pt idx="59">
                  <c:v>Zwetschge</c:v>
                </c:pt>
                <c:pt idx="60">
                  <c:v>Traube</c:v>
                </c:pt>
                <c:pt idx="61">
                  <c:v>Artischocke</c:v>
                </c:pt>
                <c:pt idx="62">
                  <c:v>Aubergine</c:v>
                </c:pt>
                <c:pt idx="63">
                  <c:v>Bohne</c:v>
                </c:pt>
                <c:pt idx="64">
                  <c:v>Blumenkohl</c:v>
                </c:pt>
                <c:pt idx="65">
                  <c:v>Brokkoli</c:v>
                </c:pt>
                <c:pt idx="66">
                  <c:v>Pilze</c:v>
                </c:pt>
                <c:pt idx="67">
                  <c:v>Erbse</c:v>
                </c:pt>
                <c:pt idx="68">
                  <c:v>Salat</c:v>
                </c:pt>
                <c:pt idx="69">
                  <c:v>Fenchel</c:v>
                </c:pt>
                <c:pt idx="70">
                  <c:v>Spitzkohl</c:v>
                </c:pt>
                <c:pt idx="71">
                  <c:v>Salatgurke</c:v>
                </c:pt>
                <c:pt idx="72">
                  <c:v>Kartoffel</c:v>
                </c:pt>
                <c:pt idx="73">
                  <c:v>Kichererbse</c:v>
                </c:pt>
                <c:pt idx="74">
                  <c:v>Knoblauch</c:v>
                </c:pt>
                <c:pt idx="75">
                  <c:v>Hokkaidokürbis</c:v>
                </c:pt>
                <c:pt idx="76">
                  <c:v>Linsen</c:v>
                </c:pt>
                <c:pt idx="77">
                  <c:v>Mais</c:v>
                </c:pt>
                <c:pt idx="78">
                  <c:v>Karotte</c:v>
                </c:pt>
                <c:pt idx="79">
                  <c:v>Paprika</c:v>
                </c:pt>
                <c:pt idx="80">
                  <c:v>Kohlrabi</c:v>
                </c:pt>
                <c:pt idx="81">
                  <c:v>Lauch</c:v>
                </c:pt>
                <c:pt idx="82">
                  <c:v>Rosenkohl</c:v>
                </c:pt>
                <c:pt idx="83">
                  <c:v>Rote Bete</c:v>
                </c:pt>
                <c:pt idx="84">
                  <c:v>Rotkohl</c:v>
                </c:pt>
                <c:pt idx="85">
                  <c:v>Sellerie</c:v>
                </c:pt>
                <c:pt idx="86">
                  <c:v>Sojasprossen</c:v>
                </c:pt>
                <c:pt idx="87">
                  <c:v>Spargel</c:v>
                </c:pt>
                <c:pt idx="88">
                  <c:v>Spinat</c:v>
                </c:pt>
                <c:pt idx="89">
                  <c:v>Süßkartoffel</c:v>
                </c:pt>
                <c:pt idx="90">
                  <c:v>Tomate</c:v>
                </c:pt>
                <c:pt idx="91">
                  <c:v>Zucchini</c:v>
                </c:pt>
                <c:pt idx="92">
                  <c:v>Zwiebel</c:v>
                </c:pt>
                <c:pt idx="93">
                  <c:v>Chili</c:v>
                </c:pt>
                <c:pt idx="94">
                  <c:v>Kokosnuss</c:v>
                </c:pt>
                <c:pt idx="95">
                  <c:v>Mandel</c:v>
                </c:pt>
                <c:pt idx="96">
                  <c:v>Erdnuss</c:v>
                </c:pt>
                <c:pt idx="97">
                  <c:v>Haselnuss</c:v>
                </c:pt>
                <c:pt idx="98">
                  <c:v>Walnuss</c:v>
                </c:pt>
                <c:pt idx="99">
                  <c:v>Cashewkern</c:v>
                </c:pt>
              </c:strCache>
            </c:strRef>
          </c:xVal>
          <c:yVal>
            <c:numRef>
              <c:f>Zutaten_Daten!$H$3:$H$102</c:f>
              <c:numCache>
                <c:formatCode>General</c:formatCode>
                <c:ptCount val="100"/>
                <c:pt idx="0" formatCode="#,##0">
                  <c:v>1550</c:v>
                </c:pt>
                <c:pt idx="1">
                  <c:v>602</c:v>
                </c:pt>
                <c:pt idx="2" formatCode="#,##0">
                  <c:v>1000</c:v>
                </c:pt>
                <c:pt idx="3">
                  <c:v>435</c:v>
                </c:pt>
                <c:pt idx="4">
                  <c:v>455</c:v>
                </c:pt>
                <c:pt idx="5">
                  <c:v>435</c:v>
                </c:pt>
                <c:pt idx="6" formatCode="#,##0">
                  <c:v>1048</c:v>
                </c:pt>
                <c:pt idx="7" formatCode="#,##0">
                  <c:v>1000</c:v>
                </c:pt>
                <c:pt idx="8" formatCode="#,##0">
                  <c:v>1000</c:v>
                </c:pt>
                <c:pt idx="9" formatCode="#,##0">
                  <c:v>1000</c:v>
                </c:pt>
                <c:pt idx="10">
                  <c:v>149</c:v>
                </c:pt>
                <c:pt idx="11">
                  <c:v>316</c:v>
                </c:pt>
                <c:pt idx="12">
                  <c:v>149</c:v>
                </c:pt>
                <c:pt idx="13">
                  <c:v>316</c:v>
                </c:pt>
                <c:pt idx="14">
                  <c:v>100</c:v>
                </c:pt>
                <c:pt idx="15">
                  <c:v>100</c:v>
                </c:pt>
                <c:pt idx="16">
                  <c:v>106</c:v>
                </c:pt>
                <c:pt idx="17">
                  <c:v>63</c:v>
                </c:pt>
                <c:pt idx="18">
                  <c:v>317</c:v>
                </c:pt>
                <c:pt idx="19">
                  <c:v>190</c:v>
                </c:pt>
                <c:pt idx="20">
                  <c:v>120</c:v>
                </c:pt>
                <c:pt idx="21">
                  <c:v>100</c:v>
                </c:pt>
                <c:pt idx="22">
                  <c:v>559</c:v>
                </c:pt>
                <c:pt idx="23">
                  <c:v>506</c:v>
                </c:pt>
                <c:pt idx="24">
                  <c:v>506</c:v>
                </c:pt>
                <c:pt idx="25">
                  <c:v>506</c:v>
                </c:pt>
                <c:pt idx="26">
                  <c:v>506</c:v>
                </c:pt>
                <c:pt idx="27">
                  <c:v>506</c:v>
                </c:pt>
                <c:pt idx="28">
                  <c:v>164</c:v>
                </c:pt>
                <c:pt idx="29">
                  <c:v>20</c:v>
                </c:pt>
                <c:pt idx="30">
                  <c:v>184</c:v>
                </c:pt>
                <c:pt idx="31">
                  <c:v>250</c:v>
                </c:pt>
                <c:pt idx="32">
                  <c:v>185</c:v>
                </c:pt>
                <c:pt idx="33">
                  <c:v>160</c:v>
                </c:pt>
                <c:pt idx="34" formatCode="#,##0">
                  <c:v>1728</c:v>
                </c:pt>
                <c:pt idx="35">
                  <c:v>92</c:v>
                </c:pt>
                <c:pt idx="36">
                  <c:v>118</c:v>
                </c:pt>
                <c:pt idx="37">
                  <c:v>27</c:v>
                </c:pt>
                <c:pt idx="38">
                  <c:v>83</c:v>
                </c:pt>
                <c:pt idx="39">
                  <c:v>130</c:v>
                </c:pt>
                <c:pt idx="40">
                  <c:v>116</c:v>
                </c:pt>
                <c:pt idx="41">
                  <c:v>79</c:v>
                </c:pt>
                <c:pt idx="42">
                  <c:v>93</c:v>
                </c:pt>
                <c:pt idx="43">
                  <c:v>83</c:v>
                </c:pt>
                <c:pt idx="44">
                  <c:v>227</c:v>
                </c:pt>
                <c:pt idx="45">
                  <c:v>32</c:v>
                </c:pt>
                <c:pt idx="46">
                  <c:v>327</c:v>
                </c:pt>
                <c:pt idx="47">
                  <c:v>40</c:v>
                </c:pt>
                <c:pt idx="48">
                  <c:v>160</c:v>
                </c:pt>
                <c:pt idx="49">
                  <c:v>50</c:v>
                </c:pt>
                <c:pt idx="50">
                  <c:v>73</c:v>
                </c:pt>
                <c:pt idx="51">
                  <c:v>181</c:v>
                </c:pt>
                <c:pt idx="52">
                  <c:v>301</c:v>
                </c:pt>
                <c:pt idx="53">
                  <c:v>57</c:v>
                </c:pt>
                <c:pt idx="54">
                  <c:v>90</c:v>
                </c:pt>
                <c:pt idx="55">
                  <c:v>218</c:v>
                </c:pt>
                <c:pt idx="56">
                  <c:v>23</c:v>
                </c:pt>
                <c:pt idx="57">
                  <c:v>23</c:v>
                </c:pt>
                <c:pt idx="58">
                  <c:v>63</c:v>
                </c:pt>
                <c:pt idx="59">
                  <c:v>218</c:v>
                </c:pt>
                <c:pt idx="60">
                  <c:v>60</c:v>
                </c:pt>
                <c:pt idx="61">
                  <c:v>83</c:v>
                </c:pt>
                <c:pt idx="62">
                  <c:v>36</c:v>
                </c:pt>
                <c:pt idx="63">
                  <c:v>53</c:v>
                </c:pt>
                <c:pt idx="64">
                  <c:v>30</c:v>
                </c:pt>
                <c:pt idx="65">
                  <c:v>30</c:v>
                </c:pt>
                <c:pt idx="66">
                  <c:v>32</c:v>
                </c:pt>
                <c:pt idx="67">
                  <c:v>60</c:v>
                </c:pt>
                <c:pt idx="68">
                  <c:v>23</c:v>
                </c:pt>
                <c:pt idx="69">
                  <c:v>32</c:v>
                </c:pt>
                <c:pt idx="70">
                  <c:v>28</c:v>
                </c:pt>
                <c:pt idx="71">
                  <c:v>36</c:v>
                </c:pt>
                <c:pt idx="72">
                  <c:v>30</c:v>
                </c:pt>
                <c:pt idx="73">
                  <c:v>137</c:v>
                </c:pt>
                <c:pt idx="74">
                  <c:v>60</c:v>
                </c:pt>
                <c:pt idx="75">
                  <c:v>32</c:v>
                </c:pt>
                <c:pt idx="76">
                  <c:v>190</c:v>
                </c:pt>
                <c:pt idx="77">
                  <c:v>124</c:v>
                </c:pt>
                <c:pt idx="78">
                  <c:v>19</c:v>
                </c:pt>
                <c:pt idx="79">
                  <c:v>38</c:v>
                </c:pt>
                <c:pt idx="80">
                  <c:v>30</c:v>
                </c:pt>
                <c:pt idx="81">
                  <c:v>32</c:v>
                </c:pt>
                <c:pt idx="82">
                  <c:v>29</c:v>
                </c:pt>
                <c:pt idx="83">
                  <c:v>20</c:v>
                </c:pt>
                <c:pt idx="84">
                  <c:v>28</c:v>
                </c:pt>
                <c:pt idx="85">
                  <c:v>22</c:v>
                </c:pt>
                <c:pt idx="86">
                  <c:v>378</c:v>
                </c:pt>
                <c:pt idx="87">
                  <c:v>218</c:v>
                </c:pt>
                <c:pt idx="88">
                  <c:v>30</c:v>
                </c:pt>
                <c:pt idx="89">
                  <c:v>40</c:v>
                </c:pt>
                <c:pt idx="90">
                  <c:v>19</c:v>
                </c:pt>
                <c:pt idx="91">
                  <c:v>34</c:v>
                </c:pt>
                <c:pt idx="92">
                  <c:v>27</c:v>
                </c:pt>
                <c:pt idx="93">
                  <c:v>92</c:v>
                </c:pt>
                <c:pt idx="94">
                  <c:v>269</c:v>
                </c:pt>
                <c:pt idx="95" formatCode="#,##0">
                  <c:v>1617</c:v>
                </c:pt>
                <c:pt idx="96">
                  <c:v>398</c:v>
                </c:pt>
                <c:pt idx="97" formatCode="#,##0">
                  <c:v>1058</c:v>
                </c:pt>
                <c:pt idx="98">
                  <c:v>934</c:v>
                </c:pt>
                <c:pt idx="99" formatCode="#,##0">
                  <c:v>1430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F4-4FF0-B2F9-E7FAE7ACF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101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Zutaten_Daten!$I$2</c:f>
              <c:strCache>
                <c:ptCount val="1"/>
                <c:pt idx="0">
                  <c:v>Wasser Normallisiert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Zutaten_Daten!$C$3:$C$103</c:f>
              <c:strCache>
                <c:ptCount val="100"/>
                <c:pt idx="0">
                  <c:v>Rind</c:v>
                </c:pt>
                <c:pt idx="1">
                  <c:v>Schwein</c:v>
                </c:pt>
                <c:pt idx="2">
                  <c:v>Kalb</c:v>
                </c:pt>
                <c:pt idx="3">
                  <c:v>Huhn</c:v>
                </c:pt>
                <c:pt idx="4">
                  <c:v>Pute</c:v>
                </c:pt>
                <c:pt idx="5">
                  <c:v>Ente</c:v>
                </c:pt>
                <c:pt idx="6">
                  <c:v>Lamm</c:v>
                </c:pt>
                <c:pt idx="7">
                  <c:v>Wildfleisch</c:v>
                </c:pt>
                <c:pt idx="8">
                  <c:v>Wurst</c:v>
                </c:pt>
                <c:pt idx="9">
                  <c:v>Salami</c:v>
                </c:pt>
                <c:pt idx="10">
                  <c:v>Lachs</c:v>
                </c:pt>
                <c:pt idx="11">
                  <c:v>Forelle</c:v>
                </c:pt>
                <c:pt idx="12">
                  <c:v>Kabeljau</c:v>
                </c:pt>
                <c:pt idx="13">
                  <c:v>Thunfisch</c:v>
                </c:pt>
                <c:pt idx="14">
                  <c:v>Garnele</c:v>
                </c:pt>
                <c:pt idx="15">
                  <c:v>Muschel</c:v>
                </c:pt>
                <c:pt idx="16">
                  <c:v>Milch</c:v>
                </c:pt>
                <c:pt idx="17">
                  <c:v>Sojamilch</c:v>
                </c:pt>
                <c:pt idx="18">
                  <c:v>Käse</c:v>
                </c:pt>
                <c:pt idx="19">
                  <c:v>Sahne</c:v>
                </c:pt>
                <c:pt idx="20">
                  <c:v>Joghurt</c:v>
                </c:pt>
                <c:pt idx="21">
                  <c:v>Quark</c:v>
                </c:pt>
                <c:pt idx="22">
                  <c:v>Butter</c:v>
                </c:pt>
                <c:pt idx="23">
                  <c:v>Ziegenkäse</c:v>
                </c:pt>
                <c:pt idx="24">
                  <c:v>Parmesan</c:v>
                </c:pt>
                <c:pt idx="25">
                  <c:v>Mozzarella</c:v>
                </c:pt>
                <c:pt idx="26">
                  <c:v>Frischkäse</c:v>
                </c:pt>
                <c:pt idx="27">
                  <c:v>Gorgonzola</c:v>
                </c:pt>
                <c:pt idx="28">
                  <c:v>Ei</c:v>
                </c:pt>
                <c:pt idx="29">
                  <c:v>Honig</c:v>
                </c:pt>
                <c:pt idx="30">
                  <c:v>Mehl (Weizen)</c:v>
                </c:pt>
                <c:pt idx="31">
                  <c:v>Reis</c:v>
                </c:pt>
                <c:pt idx="32">
                  <c:v>Nudeln</c:v>
                </c:pt>
                <c:pt idx="33">
                  <c:v>Brot</c:v>
                </c:pt>
                <c:pt idx="34">
                  <c:v>Schokolade</c:v>
                </c:pt>
                <c:pt idx="35">
                  <c:v>Zucker</c:v>
                </c:pt>
                <c:pt idx="36">
                  <c:v>Apfelsaft</c:v>
                </c:pt>
                <c:pt idx="37">
                  <c:v>Ananas</c:v>
                </c:pt>
                <c:pt idx="38">
                  <c:v>Apfel</c:v>
                </c:pt>
                <c:pt idx="39">
                  <c:v>Aprikose</c:v>
                </c:pt>
                <c:pt idx="40">
                  <c:v>Avocado</c:v>
                </c:pt>
                <c:pt idx="41">
                  <c:v>Banane</c:v>
                </c:pt>
                <c:pt idx="42">
                  <c:v>Birne</c:v>
                </c:pt>
                <c:pt idx="43">
                  <c:v>Blaubeeren</c:v>
                </c:pt>
                <c:pt idx="44">
                  <c:v>Dattel</c:v>
                </c:pt>
                <c:pt idx="45">
                  <c:v>Erdbeere</c:v>
                </c:pt>
                <c:pt idx="46">
                  <c:v>Feige</c:v>
                </c:pt>
                <c:pt idx="47">
                  <c:v>Himbeere</c:v>
                </c:pt>
                <c:pt idx="48">
                  <c:v>Kirsche</c:v>
                </c:pt>
                <c:pt idx="49">
                  <c:v>Kiwi</c:v>
                </c:pt>
                <c:pt idx="50">
                  <c:v>Mandarine</c:v>
                </c:pt>
                <c:pt idx="51">
                  <c:v>Mango</c:v>
                </c:pt>
                <c:pt idx="52">
                  <c:v>Olive</c:v>
                </c:pt>
                <c:pt idx="53">
                  <c:v>Orange</c:v>
                </c:pt>
                <c:pt idx="54">
                  <c:v>Pfirsich</c:v>
                </c:pt>
                <c:pt idx="55">
                  <c:v>Pflaume</c:v>
                </c:pt>
                <c:pt idx="56">
                  <c:v>Wassermelone</c:v>
                </c:pt>
                <c:pt idx="57">
                  <c:v>Honigmelone</c:v>
                </c:pt>
                <c:pt idx="58">
                  <c:v>Zitrone</c:v>
                </c:pt>
                <c:pt idx="59">
                  <c:v>Zwetschge</c:v>
                </c:pt>
                <c:pt idx="60">
                  <c:v>Traube</c:v>
                </c:pt>
                <c:pt idx="61">
                  <c:v>Artischocke</c:v>
                </c:pt>
                <c:pt idx="62">
                  <c:v>Aubergine</c:v>
                </c:pt>
                <c:pt idx="63">
                  <c:v>Bohne</c:v>
                </c:pt>
                <c:pt idx="64">
                  <c:v>Blumenkohl</c:v>
                </c:pt>
                <c:pt idx="65">
                  <c:v>Brokkoli</c:v>
                </c:pt>
                <c:pt idx="66">
                  <c:v>Pilze</c:v>
                </c:pt>
                <c:pt idx="67">
                  <c:v>Erbse</c:v>
                </c:pt>
                <c:pt idx="68">
                  <c:v>Salat</c:v>
                </c:pt>
                <c:pt idx="69">
                  <c:v>Fenchel</c:v>
                </c:pt>
                <c:pt idx="70">
                  <c:v>Spitzkohl</c:v>
                </c:pt>
                <c:pt idx="71">
                  <c:v>Salatgurke</c:v>
                </c:pt>
                <c:pt idx="72">
                  <c:v>Kartoffel</c:v>
                </c:pt>
                <c:pt idx="73">
                  <c:v>Kichererbse</c:v>
                </c:pt>
                <c:pt idx="74">
                  <c:v>Knoblauch</c:v>
                </c:pt>
                <c:pt idx="75">
                  <c:v>Hokkaidokürbis</c:v>
                </c:pt>
                <c:pt idx="76">
                  <c:v>Linsen</c:v>
                </c:pt>
                <c:pt idx="77">
                  <c:v>Mais</c:v>
                </c:pt>
                <c:pt idx="78">
                  <c:v>Karotte</c:v>
                </c:pt>
                <c:pt idx="79">
                  <c:v>Paprika</c:v>
                </c:pt>
                <c:pt idx="80">
                  <c:v>Kohlrabi</c:v>
                </c:pt>
                <c:pt idx="81">
                  <c:v>Lauch</c:v>
                </c:pt>
                <c:pt idx="82">
                  <c:v>Rosenkohl</c:v>
                </c:pt>
                <c:pt idx="83">
                  <c:v>Rote Bete</c:v>
                </c:pt>
                <c:pt idx="84">
                  <c:v>Rotkohl</c:v>
                </c:pt>
                <c:pt idx="85">
                  <c:v>Sellerie</c:v>
                </c:pt>
                <c:pt idx="86">
                  <c:v>Sojasprossen</c:v>
                </c:pt>
                <c:pt idx="87">
                  <c:v>Spargel</c:v>
                </c:pt>
                <c:pt idx="88">
                  <c:v>Spinat</c:v>
                </c:pt>
                <c:pt idx="89">
                  <c:v>Süßkartoffel</c:v>
                </c:pt>
                <c:pt idx="90">
                  <c:v>Tomate</c:v>
                </c:pt>
                <c:pt idx="91">
                  <c:v>Zucchini</c:v>
                </c:pt>
                <c:pt idx="92">
                  <c:v>Zwiebel</c:v>
                </c:pt>
                <c:pt idx="93">
                  <c:v>Chili</c:v>
                </c:pt>
                <c:pt idx="94">
                  <c:v>Kokosnuss</c:v>
                </c:pt>
                <c:pt idx="95">
                  <c:v>Mandel</c:v>
                </c:pt>
                <c:pt idx="96">
                  <c:v>Erdnuss</c:v>
                </c:pt>
                <c:pt idx="97">
                  <c:v>Haselnuss</c:v>
                </c:pt>
                <c:pt idx="98">
                  <c:v>Walnuss</c:v>
                </c:pt>
                <c:pt idx="99">
                  <c:v>Cashewkern</c:v>
                </c:pt>
              </c:strCache>
            </c:strRef>
          </c:xVal>
          <c:yVal>
            <c:numRef>
              <c:f>Zutaten_Daten!$I$3:$I$103</c:f>
              <c:numCache>
                <c:formatCode>General</c:formatCode>
                <c:ptCount val="101"/>
                <c:pt idx="0">
                  <c:v>5.8568662724385687</c:v>
                </c:pt>
                <c:pt idx="1">
                  <c:v>3.9254453650252472</c:v>
                </c:pt>
                <c:pt idx="2">
                  <c:v>4.8968567300115202</c:v>
                </c:pt>
                <c:pt idx="3">
                  <c:v>3.3735393770107311</c:v>
                </c:pt>
                <c:pt idx="4">
                  <c:v>3.4468760149212496</c:v>
                </c:pt>
                <c:pt idx="5">
                  <c:v>3.3735393770107311</c:v>
                </c:pt>
                <c:pt idx="6">
                  <c:v>4.993909433107202</c:v>
                </c:pt>
                <c:pt idx="7">
                  <c:v>4.8968567300115202</c:v>
                </c:pt>
                <c:pt idx="8">
                  <c:v>4.8968567300115202</c:v>
                </c:pt>
                <c:pt idx="9">
                  <c:v>4.8968567300115202</c:v>
                </c:pt>
                <c:pt idx="10">
                  <c:v>1.8774413611299376</c:v>
                </c:pt>
                <c:pt idx="11">
                  <c:v>2.8784085291496897</c:v>
                </c:pt>
                <c:pt idx="12">
                  <c:v>1.8774413611299376</c:v>
                </c:pt>
                <c:pt idx="13">
                  <c:v>2.8784085291496897</c:v>
                </c:pt>
                <c:pt idx="14">
                  <c:v>1.4275937203149405</c:v>
                </c:pt>
                <c:pt idx="15">
                  <c:v>1.4275937203149405</c:v>
                </c:pt>
                <c:pt idx="16">
                  <c:v>1.4901711248341356</c:v>
                </c:pt>
                <c:pt idx="17">
                  <c:v>0.96661009489446048</c:v>
                </c:pt>
                <c:pt idx="18">
                  <c:v>2.8830853523487816</c:v>
                </c:pt>
                <c:pt idx="19">
                  <c:v>2.1778800661070843</c:v>
                </c:pt>
                <c:pt idx="20">
                  <c:v>1.6269175655016967</c:v>
                </c:pt>
                <c:pt idx="21">
                  <c:v>1.4275937203149405</c:v>
                </c:pt>
                <c:pt idx="22">
                  <c:v>3.7950153296213047</c:v>
                </c:pt>
                <c:pt idx="23">
                  <c:v>3.623991591087746</c:v>
                </c:pt>
                <c:pt idx="24">
                  <c:v>3.623991591087746</c:v>
                </c:pt>
                <c:pt idx="25">
                  <c:v>3.623991591087746</c:v>
                </c:pt>
                <c:pt idx="26">
                  <c:v>3.623991591087746</c:v>
                </c:pt>
                <c:pt idx="27">
                  <c:v>3.623991591087746</c:v>
                </c:pt>
                <c:pt idx="28">
                  <c:v>1.9935104870310516</c:v>
                </c:pt>
                <c:pt idx="29">
                  <c:v>5.3546893650252336E-2</c:v>
                </c:pt>
                <c:pt idx="30">
                  <c:v>2.1370140770010142</c:v>
                </c:pt>
                <c:pt idx="31">
                  <c:v>2.5431254296349852</c:v>
                </c:pt>
                <c:pt idx="32">
                  <c:v>2.1438905187836399</c:v>
                </c:pt>
                <c:pt idx="33">
                  <c:v>1.9633262330676819</c:v>
                </c:pt>
                <c:pt idx="34">
                  <c:v>6.1141935272903281</c:v>
                </c:pt>
                <c:pt idx="35">
                  <c:v>1.3398395224675284</c:v>
                </c:pt>
                <c:pt idx="36">
                  <c:v>1.6081055786519736</c:v>
                </c:pt>
                <c:pt idx="37">
                  <c:v>0.26425419972145647</c:v>
                </c:pt>
                <c:pt idx="38">
                  <c:v>1.2343375627535766</c:v>
                </c:pt>
                <c:pt idx="39">
                  <c:v>1.7177583740224547</c:v>
                </c:pt>
                <c:pt idx="40">
                  <c:v>1.5890644445959654</c:v>
                </c:pt>
                <c:pt idx="41">
                  <c:v>1.1848105184558015</c:v>
                </c:pt>
                <c:pt idx="42">
                  <c:v>1.3510997610741331</c:v>
                </c:pt>
                <c:pt idx="43">
                  <c:v>1.2343375627535766</c:v>
                </c:pt>
                <c:pt idx="44">
                  <c:v>2.4114028998865873</c:v>
                </c:pt>
                <c:pt idx="45">
                  <c:v>0.39180038526471206</c:v>
                </c:pt>
                <c:pt idx="46">
                  <c:v>2.9292838343514562</c:v>
                </c:pt>
                <c:pt idx="47">
                  <c:v>0.56900579917018623</c:v>
                </c:pt>
                <c:pt idx="48">
                  <c:v>1.9633262330676819</c:v>
                </c:pt>
                <c:pt idx="49">
                  <c:v>0.75787692160639208</c:v>
                </c:pt>
                <c:pt idx="50">
                  <c:v>1.1070457083971426</c:v>
                </c:pt>
                <c:pt idx="51">
                  <c:v>2.1162232658024926</c:v>
                </c:pt>
                <c:pt idx="52">
                  <c:v>2.8069529398240851</c:v>
                </c:pt>
                <c:pt idx="53">
                  <c:v>0.87452338176179323</c:v>
                </c:pt>
                <c:pt idx="54">
                  <c:v>1.3170540848218879</c:v>
                </c:pt>
                <c:pt idx="55">
                  <c:v>2.3572593872054144</c:v>
                </c:pt>
                <c:pt idx="56">
                  <c:v>0.14943035721995424</c:v>
                </c:pt>
                <c:pt idx="57">
                  <c:v>0.14943035721995424</c:v>
                </c:pt>
                <c:pt idx="58">
                  <c:v>0.96661009489446048</c:v>
                </c:pt>
                <c:pt idx="59">
                  <c:v>2.3572593872054144</c:v>
                </c:pt>
                <c:pt idx="60">
                  <c:v>0.92138931910848143</c:v>
                </c:pt>
                <c:pt idx="61">
                  <c:v>1.2343375627535766</c:v>
                </c:pt>
                <c:pt idx="62">
                  <c:v>0.48392709181553073</c:v>
                </c:pt>
                <c:pt idx="63">
                  <c:v>0.80921137902068052</c:v>
                </c:pt>
                <c:pt idx="64">
                  <c:v>0.34261955393005872</c:v>
                </c:pt>
                <c:pt idx="65">
                  <c:v>0.34261955393005872</c:v>
                </c:pt>
                <c:pt idx="66">
                  <c:v>0.39180038526471206</c:v>
                </c:pt>
                <c:pt idx="67">
                  <c:v>0.92138931910848143</c:v>
                </c:pt>
                <c:pt idx="68">
                  <c:v>0.14943035721995424</c:v>
                </c:pt>
                <c:pt idx="69">
                  <c:v>0.39180038526471206</c:v>
                </c:pt>
                <c:pt idx="70">
                  <c:v>0.29103764724092418</c:v>
                </c:pt>
                <c:pt idx="71">
                  <c:v>0.48392709181553073</c:v>
                </c:pt>
                <c:pt idx="72">
                  <c:v>0.34261955393005872</c:v>
                </c:pt>
                <c:pt idx="73">
                  <c:v>1.77841664525348</c:v>
                </c:pt>
                <c:pt idx="74">
                  <c:v>0.92138931910848143</c:v>
                </c:pt>
                <c:pt idx="75">
                  <c:v>0.39180038526471206</c:v>
                </c:pt>
                <c:pt idx="76">
                  <c:v>2.1778800661070843</c:v>
                </c:pt>
                <c:pt idx="77">
                  <c:v>1.6638798450167704</c:v>
                </c:pt>
                <c:pt idx="78">
                  <c:v>1.9306641903582999E-2</c:v>
                </c:pt>
                <c:pt idx="79">
                  <c:v>0.52726646476759687</c:v>
                </c:pt>
                <c:pt idx="80">
                  <c:v>0.34261955393005872</c:v>
                </c:pt>
                <c:pt idx="81">
                  <c:v>0.39180038526471206</c:v>
                </c:pt>
                <c:pt idx="82">
                  <c:v>0.31714629257067894</c:v>
                </c:pt>
                <c:pt idx="83">
                  <c:v>5.3546893650252336E-2</c:v>
                </c:pt>
                <c:pt idx="84">
                  <c:v>0.29103764724092418</c:v>
                </c:pt>
                <c:pt idx="85">
                  <c:v>0.11851807446827634</c:v>
                </c:pt>
                <c:pt idx="86">
                  <c:v>3.1503730500950358</c:v>
                </c:pt>
                <c:pt idx="87">
                  <c:v>2.3572593872054144</c:v>
                </c:pt>
                <c:pt idx="88">
                  <c:v>0.34261955393005872</c:v>
                </c:pt>
                <c:pt idx="89">
                  <c:v>0.56900579917018623</c:v>
                </c:pt>
                <c:pt idx="90">
                  <c:v>1.9306641903582999E-2</c:v>
                </c:pt>
                <c:pt idx="91">
                  <c:v>0.43883207207530006</c:v>
                </c:pt>
                <c:pt idx="92">
                  <c:v>0.26425419972145647</c:v>
                </c:pt>
                <c:pt idx="93">
                  <c:v>1.3398395224675284</c:v>
                </c:pt>
                <c:pt idx="94">
                  <c:v>2.6455538736168176</c:v>
                </c:pt>
                <c:pt idx="95">
                  <c:v>5.9560875824475401</c:v>
                </c:pt>
                <c:pt idx="96">
                  <c:v>3.2312556909876493</c:v>
                </c:pt>
                <c:pt idx="97">
                  <c:v>5.0137272835218525</c:v>
                </c:pt>
                <c:pt idx="98">
                  <c:v>4.7578193171962901</c:v>
                </c:pt>
                <c:pt idx="99">
                  <c:v>5.6712160835153895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B8-4139-AF6C-8130CA53C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101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  <c:max val="6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0C-4FD1-871B-AF61ED8F5AD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0C-4FD1-871B-AF61ED8F5AD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0C-4FD1-871B-AF61ED8F5AD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0C-4FD1-871B-AF61ED8F5AD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0C-4FD1-871B-AF61ED8F5AD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C0C-4FD1-871B-AF61ED8F5AD8}"/>
              </c:ext>
            </c:extLst>
          </c:dPt>
          <c:dPt>
            <c:idx val="6"/>
            <c:invertIfNegative val="0"/>
            <c:bubble3D val="0"/>
            <c:spPr>
              <a:solidFill>
                <a:srgbClr val="F0991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C0C-4FD1-871B-AF61ED8F5AD8}"/>
              </c:ext>
            </c:extLst>
          </c:dPt>
          <c:dPt>
            <c:idx val="7"/>
            <c:invertIfNegative val="0"/>
            <c:bubble3D val="0"/>
            <c:spPr>
              <a:solidFill>
                <a:srgbClr val="FA50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C0C-4FD1-871B-AF61ED8F5AD8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C0C-4FD1-871B-AF61ED8F5AD8}"/>
              </c:ext>
            </c:extLst>
          </c:dPt>
          <c:cat>
            <c:numRef>
              <c:f>Zutaten_Analyse!$E$102:$E$111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Zutaten_Analyse!$D$102:$D$111</c:f>
              <c:numCache>
                <c:formatCode>General</c:formatCode>
                <c:ptCount val="10"/>
                <c:pt idx="0">
                  <c:v>26</c:v>
                </c:pt>
                <c:pt idx="1">
                  <c:v>11</c:v>
                </c:pt>
                <c:pt idx="2">
                  <c:v>13</c:v>
                </c:pt>
                <c:pt idx="3">
                  <c:v>11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0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0C-4FD1-871B-AF61ED8F5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192768"/>
        <c:axId val="725193096"/>
      </c:barChart>
      <c:catAx>
        <c:axId val="72519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3096"/>
        <c:crosses val="autoZero"/>
        <c:auto val="1"/>
        <c:lblAlgn val="ctr"/>
        <c:lblOffset val="100"/>
        <c:noMultiLvlLbl val="0"/>
      </c:catAx>
      <c:valAx>
        <c:axId val="7251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Rezept_Daten!$D$2</c:f>
              <c:strCache>
                <c:ptCount val="1"/>
                <c:pt idx="0">
                  <c:v>CO2 /100g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xVal>
            <c:strRef>
              <c:f>Rezept_Daten!$C$3:$C$448</c:f>
              <c:strCache>
                <c:ptCount val="446"/>
                <c:pt idx="0">
                  <c:v>Palajitas</c:v>
                </c:pt>
                <c:pt idx="1">
                  <c:v>Asiatisches Schweinefilet aus dem Wok</c:v>
                </c:pt>
                <c:pt idx="2">
                  <c:v>Neapolitaner Minestrone</c:v>
                </c:pt>
                <c:pt idx="3">
                  <c:v>Rievkooche-Burger</c:v>
                </c:pt>
                <c:pt idx="4">
                  <c:v>Griechischer Hackbraten und Gurkensalat mit Joghurt</c:v>
                </c:pt>
                <c:pt idx="5">
                  <c:v>Pizza-Raclette</c:v>
                </c:pt>
                <c:pt idx="6">
                  <c:v>Bunter Sommersalat mit Putenbruststreifen und Caesars Dressing</c:v>
                </c:pt>
                <c:pt idx="7">
                  <c:v>Fischsuppe à la Krakenes Fyr</c:v>
                </c:pt>
                <c:pt idx="8">
                  <c:v>Dorsch Rückenfilet mit Waldkräutersenfkruste auf Tomaten - Gemüserisotto</c:v>
                </c:pt>
                <c:pt idx="9">
                  <c:v>Kürbis-Moussaka</c:v>
                </c:pt>
                <c:pt idx="10">
                  <c:v>Linsen-Kartoffeleintopf</c:v>
                </c:pt>
                <c:pt idx="11">
                  <c:v>Cannelloni mit Kalbfleisch - Artischockenfüllung und Käsesauce</c:v>
                </c:pt>
                <c:pt idx="12">
                  <c:v>Kürbistarte mit Schafskäse</c:v>
                </c:pt>
                <c:pt idx="13">
                  <c:v>Chefkoch Pulled Teriyaki-Lachs-Burger</c:v>
                </c:pt>
                <c:pt idx="14">
                  <c:v>Türkische Gemüsesuppe</c:v>
                </c:pt>
                <c:pt idx="15">
                  <c:v>Cashew-Spinat-Lasagne</c:v>
                </c:pt>
                <c:pt idx="16">
                  <c:v>Rinderrouladen nach Ammerländer Art</c:v>
                </c:pt>
                <c:pt idx="17">
                  <c:v>Orientalisch gefüllter Kürbis</c:v>
                </c:pt>
                <c:pt idx="18">
                  <c:v>Grillplatte mit Fleisch und Gemüse</c:v>
                </c:pt>
                <c:pt idx="19">
                  <c:v>Erdnuss-Hackbällchen in Currysauce</c:v>
                </c:pt>
                <c:pt idx="20">
                  <c:v>Bouillabaisse Marseillaise</c:v>
                </c:pt>
                <c:pt idx="21">
                  <c:v>Rosenkohlgemüse mit Mini - Frikadellen</c:v>
                </c:pt>
                <c:pt idx="22">
                  <c:v>Crêpes mit Mittelmeerfrüchten</c:v>
                </c:pt>
                <c:pt idx="23">
                  <c:v>Sommerpfannkuchen mit Zucchini-Knoblauch-Frischkäse-Füllung</c:v>
                </c:pt>
                <c:pt idx="24">
                  <c:v>Erdbeerspargelsalat auf Wildkräuterbett u.v.m.</c:v>
                </c:pt>
                <c:pt idx="25">
                  <c:v>Italienischer Silvestersalat</c:v>
                </c:pt>
                <c:pt idx="26">
                  <c:v>Currygeschnetzeltes mit Mandelreis</c:v>
                </c:pt>
                <c:pt idx="27">
                  <c:v>Das beste Chili con Carne</c:v>
                </c:pt>
                <c:pt idx="28">
                  <c:v>Gefüllter Gänsebraten mit Serviettenknödeln</c:v>
                </c:pt>
                <c:pt idx="29">
                  <c:v>Bunter Hackfleisch-Gemüse-Eintopf</c:v>
                </c:pt>
                <c:pt idx="30">
                  <c:v>Kartoffel-Moussaka</c:v>
                </c:pt>
                <c:pt idx="31">
                  <c:v>Lollo mit Hähnchen</c:v>
                </c:pt>
                <c:pt idx="32">
                  <c:v>Ragout fin mit gemischten Pilzen</c:v>
                </c:pt>
                <c:pt idx="33">
                  <c:v>Falafel-Wrap mit Dattel-Schmand-Dip</c:v>
                </c:pt>
                <c:pt idx="34">
                  <c:v>Bucatini Auflauf</c:v>
                </c:pt>
                <c:pt idx="35">
                  <c:v>Bouillabaisse</c:v>
                </c:pt>
                <c:pt idx="36">
                  <c:v>Spargeleintopf mit Fleischklößchen</c:v>
                </c:pt>
                <c:pt idx="37">
                  <c:v>Gefüllte Buchteln mit Frühlingssalat</c:v>
                </c:pt>
                <c:pt idx="38">
                  <c:v>Überbackene Mettklößchen</c:v>
                </c:pt>
                <c:pt idx="39">
                  <c:v>Tortelloni mit Kaninchenleberfüllung und Salbei-Spargel-Butter</c:v>
                </c:pt>
                <c:pt idx="40">
                  <c:v>Minestrone</c:v>
                </c:pt>
                <c:pt idx="41">
                  <c:v>Saftige NT-Kalbsnuss an glacierten Möhren und Kartoffelsoufflé</c:v>
                </c:pt>
                <c:pt idx="42">
                  <c:v>Gebratene Nudeln mit Gemüse, asiatisch</c:v>
                </c:pt>
                <c:pt idx="43">
                  <c:v>Sommerlicher Fisch - Traum</c:v>
                </c:pt>
                <c:pt idx="44">
                  <c:v>Gefüllter Hokkaido - Kürbis</c:v>
                </c:pt>
                <c:pt idx="45">
                  <c:v>Agis Gyros in Metaxasauce</c:v>
                </c:pt>
                <c:pt idx="46">
                  <c:v>Süßkartoffelquiche</c:v>
                </c:pt>
                <c:pt idx="47">
                  <c:v>Scharfe Bananen - Fleischbällchen mit süß - saurer Sauce</c:v>
                </c:pt>
                <c:pt idx="48">
                  <c:v>Chrissis Lahmacun</c:v>
                </c:pt>
                <c:pt idx="49">
                  <c:v>Italienischer Eintopf</c:v>
                </c:pt>
                <c:pt idx="50">
                  <c:v>Fischragout mit Gemüse</c:v>
                </c:pt>
                <c:pt idx="51">
                  <c:v>Vegetarischer Nudelauflauf mit Kürbis</c:v>
                </c:pt>
                <c:pt idx="52">
                  <c:v>Polenta - Auflauf 'South Haven'</c:v>
                </c:pt>
                <c:pt idx="53">
                  <c:v>Karibische Gemüse - Hähnchenspieße mit scharfem Mangochutney</c:v>
                </c:pt>
                <c:pt idx="54">
                  <c:v>Mariniertes Steak mit Grillkartoffel und Gemüsespieß</c:v>
                </c:pt>
                <c:pt idx="55">
                  <c:v>Feuermohns gefüllte Lachs Spinat Cannelloni</c:v>
                </c:pt>
                <c:pt idx="56">
                  <c:v>Mediterraner Schmortopf</c:v>
                </c:pt>
                <c:pt idx="57">
                  <c:v>Bohnen - Speck - Rollen in Gemüsesoße</c:v>
                </c:pt>
                <c:pt idx="58">
                  <c:v>Fischtopf überbacken</c:v>
                </c:pt>
                <c:pt idx="59">
                  <c:v>Klare Suppe mit Fisch und gemischtem Gemüse</c:v>
                </c:pt>
                <c:pt idx="60">
                  <c:v>Falsche Schildkröte mit Fischklösschen</c:v>
                </c:pt>
                <c:pt idx="61">
                  <c:v>Gebackener Ziegenkäse im Speckmantel auf fruchtigem Salat mit Honig-Senf-Vinaigrette</c:v>
                </c:pt>
                <c:pt idx="62">
                  <c:v>Sommerliche Schupfnudelpfanne</c:v>
                </c:pt>
                <c:pt idx="63">
                  <c:v>Asiatisch - fränkischer Tafelspitz, Brezenkloß und Meerrettichcreme</c:v>
                </c:pt>
                <c:pt idx="64">
                  <c:v>Chicken Wrap mit Gemüse, Guacamole und Crème fraîche</c:v>
                </c:pt>
                <c:pt idx="65">
                  <c:v>Kürbis - Kokos - Suppe mit Chili</c:v>
                </c:pt>
                <c:pt idx="66">
                  <c:v>Spinat-Gemüse-Lasagne mit Tomatensoße</c:v>
                </c:pt>
                <c:pt idx="67">
                  <c:v>Kürbis-Lauch-Quiche</c:v>
                </c:pt>
                <c:pt idx="68">
                  <c:v>Bunter Nudelauflauf</c:v>
                </c:pt>
                <c:pt idx="69">
                  <c:v>Auberginenröllchen mit würziger Reisfüllung</c:v>
                </c:pt>
                <c:pt idx="70">
                  <c:v>Ragout von Hähnchenbrust, grünem Spargel und Erdbeeren mit Kürbiskernrisotto</c:v>
                </c:pt>
                <c:pt idx="71">
                  <c:v>Pizza Diavolo</c:v>
                </c:pt>
                <c:pt idx="72">
                  <c:v>Linsensalat mit Mango und Ziegenkäse</c:v>
                </c:pt>
                <c:pt idx="73">
                  <c:v>Tarte à la Ratatouille</c:v>
                </c:pt>
                <c:pt idx="74">
                  <c:v>Kräuterforelle auf mediterranem Sommergemüse</c:v>
                </c:pt>
                <c:pt idx="75">
                  <c:v>Kabeljau im Panko-Parmesan-Mantel mit Tomatennudeln</c:v>
                </c:pt>
                <c:pt idx="76">
                  <c:v>Überbackene Enchiladas mit Tzatziki</c:v>
                </c:pt>
                <c:pt idx="77">
                  <c:v>Griechische Gemüsesuppe</c:v>
                </c:pt>
                <c:pt idx="78">
                  <c:v>Paella</c:v>
                </c:pt>
                <c:pt idx="79">
                  <c:v>Mangoldstrudel</c:v>
                </c:pt>
                <c:pt idx="80">
                  <c:v>Gefüllte Pide</c:v>
                </c:pt>
                <c:pt idx="81">
                  <c:v>Hackbraten</c:v>
                </c:pt>
                <c:pt idx="82">
                  <c:v>Gurken - Schmortopf</c:v>
                </c:pt>
                <c:pt idx="83">
                  <c:v>Edelfische auf Blattspinat in Rote Bete-Sauce</c:v>
                </c:pt>
                <c:pt idx="84">
                  <c:v>Lammrücken unter der Kräuterkruste auf Artischockengemüse mit Polenta</c:v>
                </c:pt>
                <c:pt idx="85">
                  <c:v>Gemüse - Lasagne</c:v>
                </c:pt>
                <c:pt idx="86">
                  <c:v>Lachs gedämpft</c:v>
                </c:pt>
                <c:pt idx="87">
                  <c:v>Lasagne Bolognese</c:v>
                </c:pt>
                <c:pt idx="88">
                  <c:v>Schweinefilet in Schinkenmantel mit Spinat - Pilz - Mozarellafüllung in Blätterteig</c:v>
                </c:pt>
                <c:pt idx="89">
                  <c:v>Kartoffel-Kürbis Gratin alla Napolitana</c:v>
                </c:pt>
                <c:pt idx="90">
                  <c:v>Gemüse-Soufflé</c:v>
                </c:pt>
                <c:pt idx="91">
                  <c:v>Lachs im Gemüsebett</c:v>
                </c:pt>
                <c:pt idx="92">
                  <c:v>Lahmacun</c:v>
                </c:pt>
                <c:pt idx="93">
                  <c:v>Pizza-Dip</c:v>
                </c:pt>
                <c:pt idx="94">
                  <c:v>Palatschinken mit feiner Walnussfüllung</c:v>
                </c:pt>
                <c:pt idx="95">
                  <c:v>Brokkoli - Walnuss Quiche</c:v>
                </c:pt>
                <c:pt idx="96">
                  <c:v>Cannelloni mit Spinat-Tomatensoße und Lachs</c:v>
                </c:pt>
                <c:pt idx="97">
                  <c:v>Kürbisgemüse aus dem Ofen mit Kräuterquark</c:v>
                </c:pt>
                <c:pt idx="98">
                  <c:v>Blitz-Hühnerfrikassee</c:v>
                </c:pt>
                <c:pt idx="99">
                  <c:v>Rindersteak mit Käse - Sauce</c:v>
                </c:pt>
                <c:pt idx="100">
                  <c:v>Lustige Leber</c:v>
                </c:pt>
                <c:pt idx="101">
                  <c:v>Lauchcreme-Gourmetsuppe</c:v>
                </c:pt>
                <c:pt idx="102">
                  <c:v>Cannelloni mit cremiger Gemüse-Käse-Füllung</c:v>
                </c:pt>
                <c:pt idx="103">
                  <c:v>Spargel im knusprigen Hafer - Mantel</c:v>
                </c:pt>
                <c:pt idx="104">
                  <c:v>Gratinierte Forelle mit Mozzarella</c:v>
                </c:pt>
                <c:pt idx="105">
                  <c:v>Hackauflauf mit Lauchkruste</c:v>
                </c:pt>
                <c:pt idx="106">
                  <c:v>Moussaka</c:v>
                </c:pt>
                <c:pt idx="107">
                  <c:v>Spinat-Käse-Auflauf</c:v>
                </c:pt>
                <c:pt idx="108">
                  <c:v>Möhreneintopf</c:v>
                </c:pt>
                <c:pt idx="109">
                  <c:v>Chinesische Reis - Gemüse - Pfanne</c:v>
                </c:pt>
                <c:pt idx="110">
                  <c:v>Nudeln mit Butternut- oder Hokkaidokürbis</c:v>
                </c:pt>
                <c:pt idx="111">
                  <c:v>Holzhackersteak</c:v>
                </c:pt>
                <c:pt idx="112">
                  <c:v>Zucchini-Lasagne</c:v>
                </c:pt>
                <c:pt idx="113">
                  <c:v>Knusperschnitzel mit Salat</c:v>
                </c:pt>
                <c:pt idx="114">
                  <c:v>Lamm mit Mandeln, Pistazien und Berberitzen</c:v>
                </c:pt>
                <c:pt idx="115">
                  <c:v>Überbackene Koteletts</c:v>
                </c:pt>
                <c:pt idx="116">
                  <c:v>Leipziger Klopse</c:v>
                </c:pt>
                <c:pt idx="117">
                  <c:v>Pfannkuchen mit Spinat</c:v>
                </c:pt>
                <c:pt idx="118">
                  <c:v>Hähnchenschenkel mit Kartoffel - Gemüsepfanne</c:v>
                </c:pt>
                <c:pt idx="119">
                  <c:v>Schweinehals mit pikantem Lauchgemüse und Quittengeleesauce</c:v>
                </c:pt>
                <c:pt idx="120">
                  <c:v>Das große Burggeheimnis</c:v>
                </c:pt>
                <c:pt idx="121">
                  <c:v>Pappardelle di Don Vito</c:v>
                </c:pt>
                <c:pt idx="122">
                  <c:v>Heißer Cowboy Topf</c:v>
                </c:pt>
                <c:pt idx="123">
                  <c:v>Poaca - gefüllte Teigtaschen</c:v>
                </c:pt>
                <c:pt idx="124">
                  <c:v>Chili sin Carne</c:v>
                </c:pt>
                <c:pt idx="125">
                  <c:v>Mariniertes Geflügel mit Ananassalsa und Nudelsalat</c:v>
                </c:pt>
                <c:pt idx="126">
                  <c:v>Spargel mit Sauce Hollandaise, gebratenem Schweinefilet und Kartoffelgratin</c:v>
                </c:pt>
                <c:pt idx="127">
                  <c:v>Low Carb Pizzaboden aus Zucchini</c:v>
                </c:pt>
                <c:pt idx="128">
                  <c:v>Moussaka kretische Art</c:v>
                </c:pt>
                <c:pt idx="129">
                  <c:v>Brokkoli - Fenchel - Auflauf mit Kartoffeln</c:v>
                </c:pt>
                <c:pt idx="130">
                  <c:v>Deftige Chili - Gemüsesuppe</c:v>
                </c:pt>
                <c:pt idx="131">
                  <c:v>Scharfer Auberginensalat</c:v>
                </c:pt>
                <c:pt idx="132">
                  <c:v>Mediterrane Gemüsepfanne mit Hähnchenbrustfilet</c:v>
                </c:pt>
                <c:pt idx="133">
                  <c:v>Muschelnudeln mit Lachs, Spinat und Fenchel</c:v>
                </c:pt>
                <c:pt idx="134">
                  <c:v>Annas gefüllte Zucchini im Tomatenbett</c:v>
                </c:pt>
                <c:pt idx="135">
                  <c:v>Farsumagru</c:v>
                </c:pt>
                <c:pt idx="136">
                  <c:v>Schaschlik nach Andrés Art</c:v>
                </c:pt>
                <c:pt idx="137">
                  <c:v>Couscous-Salat, lecker würzig</c:v>
                </c:pt>
                <c:pt idx="138">
                  <c:v>Femüse-Geflügel-Suppe</c:v>
                </c:pt>
                <c:pt idx="139">
                  <c:v>Spinatknödel mit Gorgonzolasauce</c:v>
                </c:pt>
                <c:pt idx="140">
                  <c:v>Lasagne</c:v>
                </c:pt>
                <c:pt idx="141">
                  <c:v>Rindergulasch</c:v>
                </c:pt>
                <c:pt idx="142">
                  <c:v>Reisauflauf mit Zwetschgensoße</c:v>
                </c:pt>
                <c:pt idx="143">
                  <c:v>Gefüllte Schmorgurke in Tomatensauce</c:v>
                </c:pt>
                <c:pt idx="144">
                  <c:v>Kürbisgratin</c:v>
                </c:pt>
                <c:pt idx="145">
                  <c:v>Putenfleischknödel mit Linsenstrudel</c:v>
                </c:pt>
                <c:pt idx="146">
                  <c:v>Ungarische Gulaschsuppe</c:v>
                </c:pt>
                <c:pt idx="147">
                  <c:v>Überbackene Cannelloni mit Brokkolifüllung</c:v>
                </c:pt>
                <c:pt idx="148">
                  <c:v>Rauke - Linsen - Salat mit Lammfilet</c:v>
                </c:pt>
                <c:pt idx="149">
                  <c:v>Kohlrabilasagne</c:v>
                </c:pt>
                <c:pt idx="150">
                  <c:v>Feta-Blattspinat-Rolle mit Sesam und süß-saurem Dip</c:v>
                </c:pt>
                <c:pt idx="151">
                  <c:v>Paprikaschnitzel mit kräftiger Paprikasauce</c:v>
                </c:pt>
                <c:pt idx="152">
                  <c:v>Spargel aus dem Ofen mit Hefe-Pfannküchlein und Paprika-Vinaigrette</c:v>
                </c:pt>
                <c:pt idx="153">
                  <c:v>Griechisches Kalbsfleisch in Tomatensoße mit Nudeln</c:v>
                </c:pt>
                <c:pt idx="154">
                  <c:v>botos Bifteki mit griechischem Tomatenreis</c:v>
                </c:pt>
                <c:pt idx="155">
                  <c:v>Salat mit Honigchampignons</c:v>
                </c:pt>
                <c:pt idx="156">
                  <c:v>Yufka mit Gemüse- und Rindfleischfüllung</c:v>
                </c:pt>
                <c:pt idx="157">
                  <c:v>Rinderfilet gratiniert mit Rotkohl und Kartoffelklößen</c:v>
                </c:pt>
                <c:pt idx="158">
                  <c:v>Bouillabaisse mit Sauce Rouille und Baguette</c:v>
                </c:pt>
                <c:pt idx="159">
                  <c:v>Rigatoni mit Hähnchen in Senf - Sahne - Sauce</c:v>
                </c:pt>
                <c:pt idx="160">
                  <c:v>Linsen-Gemüse-Kartoffel-Topf mit Putenfleisch</c:v>
                </c:pt>
                <c:pt idx="161">
                  <c:v>Hähncheneintopf à la Eddie</c:v>
                </c:pt>
                <c:pt idx="162">
                  <c:v>Nudelauflauf Winterzauber</c:v>
                </c:pt>
                <c:pt idx="163">
                  <c:v>Überbackene Koteletts</c:v>
                </c:pt>
                <c:pt idx="164">
                  <c:v>Kabeljau im Gemüsesud und Schnittlauchbutter</c:v>
                </c:pt>
                <c:pt idx="165">
                  <c:v>Gratinierter Gemüseauflauf</c:v>
                </c:pt>
                <c:pt idx="166">
                  <c:v>Gemüse aus dem Backofen</c:v>
                </c:pt>
                <c:pt idx="167">
                  <c:v>Hähnchen - Schauwarma</c:v>
                </c:pt>
                <c:pt idx="168">
                  <c:v>Hähnchencurry mit Süßkartoffeln</c:v>
                </c:pt>
                <c:pt idx="169">
                  <c:v>Kräuter - Käse - Klops</c:v>
                </c:pt>
                <c:pt idx="170">
                  <c:v>Kabeljaufilet unter Kartoffelschuppen</c:v>
                </c:pt>
                <c:pt idx="171">
                  <c:v>Gemüsespiralen-Tarte</c:v>
                </c:pt>
                <c:pt idx="172">
                  <c:v>Gefüllter Hokkaidokürbis</c:v>
                </c:pt>
                <c:pt idx="173">
                  <c:v>Tanja's Djuvec - Hähnchenpfanne</c:v>
                </c:pt>
                <c:pt idx="174">
                  <c:v>Rindersteaks auf italienisch</c:v>
                </c:pt>
                <c:pt idx="175">
                  <c:v>Surhaxe mit Sauerkraut oder Erbsmus</c:v>
                </c:pt>
                <c:pt idx="176">
                  <c:v>Hähnchen - Mango - Curry</c:v>
                </c:pt>
                <c:pt idx="177">
                  <c:v>Vegane Curry-Linsen-Bowl mit Röst-Karotten und Petersilien-Dip</c:v>
                </c:pt>
                <c:pt idx="178">
                  <c:v>Makhani Hähnchen</c:v>
                </c:pt>
                <c:pt idx="179">
                  <c:v>Hackfleisch-Picadillo</c:v>
                </c:pt>
                <c:pt idx="180">
                  <c:v>Linseneintopf kanarische Art</c:v>
                </c:pt>
                <c:pt idx="181">
                  <c:v>Putenschnitzel Italia mit klassischem Tomaten - Mozzarella - Salat</c:v>
                </c:pt>
                <c:pt idx="182">
                  <c:v>Asia-Pfanne süß-sauer</c:v>
                </c:pt>
                <c:pt idx="183">
                  <c:v>Tafelspitz mit Polenta-Nocken</c:v>
                </c:pt>
                <c:pt idx="184">
                  <c:v>Gemüse-Pizza</c:v>
                </c:pt>
                <c:pt idx="185">
                  <c:v>Spaghetti Bolognese nach Toskana Art</c:v>
                </c:pt>
                <c:pt idx="186">
                  <c:v>Backofengeheimnis</c:v>
                </c:pt>
                <c:pt idx="187">
                  <c:v>Rosenkohl-Curry</c:v>
                </c:pt>
                <c:pt idx="188">
                  <c:v>Linsen-Hackfleisch-Kuchen</c:v>
                </c:pt>
                <c:pt idx="189">
                  <c:v>Grisous leichte Tarte à la moutarde</c:v>
                </c:pt>
                <c:pt idx="190">
                  <c:v>Griechische Gemüsesuppe</c:v>
                </c:pt>
                <c:pt idx="191">
                  <c:v>Orientalischer Hackbraten</c:v>
                </c:pt>
                <c:pt idx="192">
                  <c:v>Ungarischer Nudelsalat</c:v>
                </c:pt>
                <c:pt idx="193">
                  <c:v>Spargelplatte mit Putenschnitzel im Speckmantel</c:v>
                </c:pt>
                <c:pt idx="194">
                  <c:v>Mexikanisches Hähnchen</c:v>
                </c:pt>
                <c:pt idx="195">
                  <c:v>Gebackener Feta auf gemischtem Salat mit Honigdressing</c:v>
                </c:pt>
                <c:pt idx="196">
                  <c:v>Zwiebelkuchen, schwäbischer</c:v>
                </c:pt>
                <c:pt idx="197">
                  <c:v>Zitronen-Schnitzel mit Parmesanpanade</c:v>
                </c:pt>
                <c:pt idx="198">
                  <c:v>Ossobuco à la Annette im Römertopf</c:v>
                </c:pt>
                <c:pt idx="199">
                  <c:v>Hähnchen-Reis-Pfanne</c:v>
                </c:pt>
                <c:pt idx="200">
                  <c:v>Matjessalat mit Rindfleisch</c:v>
                </c:pt>
                <c:pt idx="201">
                  <c:v>Chili con Carne à la Benjo</c:v>
                </c:pt>
                <c:pt idx="202">
                  <c:v>Hähnchen Frikassee</c:v>
                </c:pt>
                <c:pt idx="203">
                  <c:v>Cremiger Nudelauflauf mit Tomaten und Mozzarella</c:v>
                </c:pt>
                <c:pt idx="204">
                  <c:v>Gurkensuppe</c:v>
                </c:pt>
                <c:pt idx="205">
                  <c:v>Kartoffelkuchen mit Lamm und Gemüse</c:v>
                </c:pt>
                <c:pt idx="206">
                  <c:v>Gefüllte Paprika</c:v>
                </c:pt>
                <c:pt idx="207">
                  <c:v>Friedhelms Jägerpfannkuchen</c:v>
                </c:pt>
                <c:pt idx="208">
                  <c:v>Bier-Senf-Geschnetzeltes</c:v>
                </c:pt>
                <c:pt idx="209">
                  <c:v>Kartoffelgulasch</c:v>
                </c:pt>
                <c:pt idx="210">
                  <c:v>Provenzalische Schnitzel</c:v>
                </c:pt>
                <c:pt idx="211">
                  <c:v>Lachsforelle auf Gemüsebett 'sous vide' mit Süßkartoffelpüree</c:v>
                </c:pt>
                <c:pt idx="212">
                  <c:v>Lammkeule in Olivenjus mit Herzoginkartoffeln und karamellisiertem Chicoree</c:v>
                </c:pt>
                <c:pt idx="213">
                  <c:v>Römischer Mangoldfisch mit Rosmarinkartoffeln</c:v>
                </c:pt>
                <c:pt idx="214">
                  <c:v>Tomaten - Mozzarella - Steaks</c:v>
                </c:pt>
                <c:pt idx="215">
                  <c:v>Couscous mit Hähnchen, Gemüse und Champignons</c:v>
                </c:pt>
                <c:pt idx="216">
                  <c:v>Zottels Chili con Carne-Auflauf</c:v>
                </c:pt>
                <c:pt idx="217">
                  <c:v>Spargelgemüse mit Mettbällchen</c:v>
                </c:pt>
                <c:pt idx="218">
                  <c:v>Ravioli mit Puten-Tomaten Füllung</c:v>
                </c:pt>
                <c:pt idx="219">
                  <c:v>Burritos</c:v>
                </c:pt>
                <c:pt idx="220">
                  <c:v>Kichererbsensuppe mit Süßkartoffeln und Paprikawurst</c:v>
                </c:pt>
                <c:pt idx="221">
                  <c:v>Rotbarschfilet mit Erdnusspanade und Pilzgemüse</c:v>
                </c:pt>
                <c:pt idx="222">
                  <c:v>Vegetarische Lasagne mit Auberginen</c:v>
                </c:pt>
                <c:pt idx="223">
                  <c:v>Mexikanischer Tomatenauflauf</c:v>
                </c:pt>
                <c:pt idx="224">
                  <c:v>Huhn nach Kap Malayischer Art</c:v>
                </c:pt>
                <c:pt idx="225">
                  <c:v>Reistopf mit Hähnchen und Erbsen</c:v>
                </c:pt>
                <c:pt idx="226">
                  <c:v>Makkaroni - Kuchen</c:v>
                </c:pt>
                <c:pt idx="227">
                  <c:v>Spargel überbacken, mit Tomate und Spinat</c:v>
                </c:pt>
                <c:pt idx="228">
                  <c:v>Schneller Stroganoff mit süß - sauren Backkartoffeln</c:v>
                </c:pt>
                <c:pt idx="229">
                  <c:v>Pflaumen-Tofu-Ravioli in Kürbis-Rote Bete-Sauce, vegan</c:v>
                </c:pt>
                <c:pt idx="230">
                  <c:v>Einfache Paella mit Chorizo und Hähnchenkeulen</c:v>
                </c:pt>
                <c:pt idx="231">
                  <c:v>English Chicken Pie</c:v>
                </c:pt>
                <c:pt idx="232">
                  <c:v>Hackfleisch - Gemüse - Auflauf mit Reis</c:v>
                </c:pt>
                <c:pt idx="233">
                  <c:v>Bäuerinnensuppe</c:v>
                </c:pt>
                <c:pt idx="234">
                  <c:v>Fischlasagne</c:v>
                </c:pt>
                <c:pt idx="235">
                  <c:v>Manti mit Joghurtsauce und Paprikabutter</c:v>
                </c:pt>
                <c:pt idx="236">
                  <c:v>Brillas Kürbiseintopf</c:v>
                </c:pt>
                <c:pt idx="237">
                  <c:v>Backofen - Fisch</c:v>
                </c:pt>
                <c:pt idx="238">
                  <c:v>Brokkolireis mit Käsehaube</c:v>
                </c:pt>
                <c:pt idx="239">
                  <c:v>Involtini von der Pute auf Blattspinat mit Polentaschnitte und Tomatensauce</c:v>
                </c:pt>
                <c:pt idx="240">
                  <c:v>Vegetarische Cevapcici für den Grill</c:v>
                </c:pt>
                <c:pt idx="241">
                  <c:v>Zucchini – Piccata auf Tomatenkompott mit Rucolapesto und Nudeln</c:v>
                </c:pt>
                <c:pt idx="242">
                  <c:v>Italienischer Herbsteintopf</c:v>
                </c:pt>
                <c:pt idx="243">
                  <c:v>Hähnchen-Gemüse-Pfanne</c:v>
                </c:pt>
                <c:pt idx="244">
                  <c:v>Hähnchen - Piccata mit Tomatensoße</c:v>
                </c:pt>
                <c:pt idx="245">
                  <c:v>Orientalischer Zimt-Hackfleischtopf</c:v>
                </c:pt>
                <c:pt idx="246">
                  <c:v>Bunter Kürbis - Kartoffel - Auflauf</c:v>
                </c:pt>
                <c:pt idx="247">
                  <c:v>Marinierter Lachs an Ratatouillesalat mit Rucolapesto und Brot</c:v>
                </c:pt>
                <c:pt idx="248">
                  <c:v>Cremesuppe aus gelben Paprikaschoten</c:v>
                </c:pt>
                <c:pt idx="249">
                  <c:v>Galloway im Kürbisfeld</c:v>
                </c:pt>
                <c:pt idx="250">
                  <c:v>Gemüsekuchen</c:v>
                </c:pt>
                <c:pt idx="251">
                  <c:v>Spargel auf Kartoffelpuffer</c:v>
                </c:pt>
                <c:pt idx="252">
                  <c:v>Paniertes Kalbssteak auf spanische Art</c:v>
                </c:pt>
                <c:pt idx="253">
                  <c:v>Mini-Party-Quiches</c:v>
                </c:pt>
                <c:pt idx="254">
                  <c:v>Vegetarisches Gemüsecurry</c:v>
                </c:pt>
                <c:pt idx="255">
                  <c:v>Feurig scharfe Zucchinisuppe mit Hackbällchen</c:v>
                </c:pt>
                <c:pt idx="256">
                  <c:v>Wiener Schnitzel mit Spargel</c:v>
                </c:pt>
                <c:pt idx="257">
                  <c:v>Bulgur Buddha Bowl</c:v>
                </c:pt>
                <c:pt idx="258">
                  <c:v>Gemüseauflauf aus dem Terracotta Topf</c:v>
                </c:pt>
                <c:pt idx="259">
                  <c:v>Chilibällchen mit Fetakäse und Paprikagemüse</c:v>
                </c:pt>
                <c:pt idx="260">
                  <c:v>Karibischer Schweinebraten</c:v>
                </c:pt>
                <c:pt idx="261">
                  <c:v>Böhmischer Kartoffelsalat</c:v>
                </c:pt>
                <c:pt idx="262">
                  <c:v>Kichererbsen-Oliven-Salat</c:v>
                </c:pt>
                <c:pt idx="263">
                  <c:v>Ungarische gefüllte Kohlrouladen</c:v>
                </c:pt>
                <c:pt idx="264">
                  <c:v>Kürbistortellini weihnachtlich gewürzt</c:v>
                </c:pt>
                <c:pt idx="265">
                  <c:v>Mexikanische Gemüsesuppe</c:v>
                </c:pt>
                <c:pt idx="266">
                  <c:v>Sächsischer Herings-Kartoffelsalat</c:v>
                </c:pt>
                <c:pt idx="267">
                  <c:v>Mediterrane Kartoffelpfanne</c:v>
                </c:pt>
                <c:pt idx="268">
                  <c:v>Österreichischer Kaiserschmarrn</c:v>
                </c:pt>
                <c:pt idx="269">
                  <c:v>Nudeln mit Belugalinsen</c:v>
                </c:pt>
                <c:pt idx="270">
                  <c:v>Mecklenburger Bunte Katze mit Karottensalat</c:v>
                </c:pt>
                <c:pt idx="271">
                  <c:v>Steckerlfisch mit Kartoffel - Zuccini - Paprika - Gemüse</c:v>
                </c:pt>
                <c:pt idx="272">
                  <c:v>Fischsuppe</c:v>
                </c:pt>
                <c:pt idx="273">
                  <c:v>Chili - Gulasch</c:v>
                </c:pt>
                <c:pt idx="274">
                  <c:v>Blumenkohlauflauf mit Hackbällchen</c:v>
                </c:pt>
                <c:pt idx="275">
                  <c:v>Nomadenmahl</c:v>
                </c:pt>
                <c:pt idx="276">
                  <c:v>Arabische Kichererbsen-Spinat Suppe</c:v>
                </c:pt>
                <c:pt idx="277">
                  <c:v>Pastinakenbratlinge mit Wirsingpüree</c:v>
                </c:pt>
                <c:pt idx="278">
                  <c:v>Chinesische Nudelpfanne</c:v>
                </c:pt>
                <c:pt idx="279">
                  <c:v>Hasenrücken mit Apfelsoße</c:v>
                </c:pt>
                <c:pt idx="280">
                  <c:v>Zucchini - Tomatensauce</c:v>
                </c:pt>
                <c:pt idx="281">
                  <c:v>Champignon - Nudel - Muffins</c:v>
                </c:pt>
                <c:pt idx="282">
                  <c:v>Nudel - Tortilla</c:v>
                </c:pt>
                <c:pt idx="283">
                  <c:v>Blätterteig - Pie mit Hackfleisch - Spinat Füllung</c:v>
                </c:pt>
                <c:pt idx="284">
                  <c:v>Wachtel mit Spargel</c:v>
                </c:pt>
                <c:pt idx="285">
                  <c:v>Leichter Kochfisch mit Senfgemüse</c:v>
                </c:pt>
                <c:pt idx="286">
                  <c:v>Kalbsgeschnetzeltes Bombay</c:v>
                </c:pt>
                <c:pt idx="287">
                  <c:v>Tortellinisalat italienische Art</c:v>
                </c:pt>
                <c:pt idx="288">
                  <c:v>Blumenkohl - Gratin mit Sesam</c:v>
                </c:pt>
                <c:pt idx="289">
                  <c:v>Gemüseschnecken mit Lauchsoße</c:v>
                </c:pt>
                <c:pt idx="290">
                  <c:v>Ossobuco mit Röstgemüse</c:v>
                </c:pt>
                <c:pt idx="291">
                  <c:v>Chefkoch Kirsch-BBQ-Burger</c:v>
                </c:pt>
                <c:pt idx="292">
                  <c:v>Auberginen - Kartoffel - Auflauf mit Hackfleisch</c:v>
                </c:pt>
                <c:pt idx="293">
                  <c:v>Tansanische Fischpfanne mit Spinat</c:v>
                </c:pt>
                <c:pt idx="294">
                  <c:v>Tatarfrikadellen mit buntem Gemüse und Röstkartoffeln</c:v>
                </c:pt>
                <c:pt idx="295">
                  <c:v>Räuberfleisch</c:v>
                </c:pt>
                <c:pt idx="296">
                  <c:v>Mexikanische Enchilada-Lasagne</c:v>
                </c:pt>
                <c:pt idx="297">
                  <c:v>Schaschlik vegetarisch</c:v>
                </c:pt>
                <c:pt idx="298">
                  <c:v>Süßkartoffel-Curry</c:v>
                </c:pt>
                <c:pt idx="299">
                  <c:v>Kartoffel-Gemüsetortilla mit Kräuterquark</c:v>
                </c:pt>
                <c:pt idx="300">
                  <c:v>Jungfern - Braten</c:v>
                </c:pt>
                <c:pt idx="301">
                  <c:v>Putenspieße auf Tomatenreis</c:v>
                </c:pt>
                <c:pt idx="302">
                  <c:v>Sommernachts - Lachsfilet</c:v>
                </c:pt>
                <c:pt idx="303">
                  <c:v>Forelle im Salzteig</c:v>
                </c:pt>
                <c:pt idx="304">
                  <c:v>Bunter Erdäpfelsalat mit Frankfurter</c:v>
                </c:pt>
                <c:pt idx="305">
                  <c:v>Manti - Türkische Tortellini</c:v>
                </c:pt>
                <c:pt idx="306">
                  <c:v>Kartoffel - Zucchini - Porree - Auflauf mit Hack</c:v>
                </c:pt>
                <c:pt idx="307">
                  <c:v>Avocado-Mango-Salat mit Hähnchen</c:v>
                </c:pt>
                <c:pt idx="308">
                  <c:v>Süßer Topfen - Reis - Auflauf</c:v>
                </c:pt>
                <c:pt idx="309">
                  <c:v>Kürbis, Kartoffeln und Hähnchenschenkel aus dem Backofen</c:v>
                </c:pt>
                <c:pt idx="310">
                  <c:v>Gnocchi mit Avocado-Basilikum-Pesto</c:v>
                </c:pt>
                <c:pt idx="311">
                  <c:v>Nasi Goreng</c:v>
                </c:pt>
                <c:pt idx="312">
                  <c:v>Wildschweinrücken in Adventsgewürzen mit Kartoffelknödel in Rotkohl-Preiselbeermantel</c:v>
                </c:pt>
                <c:pt idx="313">
                  <c:v>Seezungen mit Erdbeerchutney</c:v>
                </c:pt>
                <c:pt idx="314">
                  <c:v>Schinkennudeln mit Gemüse</c:v>
                </c:pt>
                <c:pt idx="315">
                  <c:v>Gulaschsuppe à la Tick</c:v>
                </c:pt>
                <c:pt idx="316">
                  <c:v>Vegetarisches Frühlingspfännchen mit Feta-Käse</c:v>
                </c:pt>
                <c:pt idx="317">
                  <c:v>Spaghetti mit Gemüse-Bolognese</c:v>
                </c:pt>
                <c:pt idx="318">
                  <c:v>Kürbisauflauf mit Hackfleisch</c:v>
                </c:pt>
                <c:pt idx="319">
                  <c:v>Karpfen in Mandelkruste</c:v>
                </c:pt>
                <c:pt idx="320">
                  <c:v>Nudeln mit Lachs, Spinat und Ziegenkäse</c:v>
                </c:pt>
                <c:pt idx="321">
                  <c:v>Fencheleintopf mit Parmesankartoffeln</c:v>
                </c:pt>
                <c:pt idx="322">
                  <c:v>Echte Gulaschsuppe</c:v>
                </c:pt>
                <c:pt idx="323">
                  <c:v>Nudelsalat mediterran</c:v>
                </c:pt>
                <c:pt idx="324">
                  <c:v>Portugiesische Fischpfanne</c:v>
                </c:pt>
                <c:pt idx="325">
                  <c:v>Bunter Nudeltopf</c:v>
                </c:pt>
                <c:pt idx="326">
                  <c:v>Spinat-Quark Lasagne</c:v>
                </c:pt>
                <c:pt idx="327">
                  <c:v>Forellen auf Fenchel-Tomaten Gemüse</c:v>
                </c:pt>
                <c:pt idx="328">
                  <c:v>Gefüllte Paprika mit Hackfleisch und Reis</c:v>
                </c:pt>
                <c:pt idx="329">
                  <c:v>Reef and Beef</c:v>
                </c:pt>
                <c:pt idx="330">
                  <c:v>Soljanka nach Mama Art</c:v>
                </c:pt>
                <c:pt idx="331">
                  <c:v>Lammlachse mit Kräuterkruste auf einer Bohnentrilogie und Kartoffel-Kresse-Püree</c:v>
                </c:pt>
                <c:pt idx="332">
                  <c:v>Hühnchen mit Bacon-Alfredo-Füllung</c:v>
                </c:pt>
                <c:pt idx="333">
                  <c:v>Schafhirten - Pie</c:v>
                </c:pt>
                <c:pt idx="334">
                  <c:v>Puszta-Suppe mit Mettbällchen und Sauerkraut</c:v>
                </c:pt>
                <c:pt idx="335">
                  <c:v>Auflauf mit Buttergemüse, Rosenkohl und Mettenden</c:v>
                </c:pt>
                <c:pt idx="336">
                  <c:v>Pikanter Kartoffelsalat mit Nusskernen</c:v>
                </c:pt>
                <c:pt idx="337">
                  <c:v>Finnische Hackfleischbällchen</c:v>
                </c:pt>
                <c:pt idx="338">
                  <c:v>Hähnchen-Ananas-Curry mit Reis</c:v>
                </c:pt>
                <c:pt idx="339">
                  <c:v>Hackfleischtopf mit Sommergemüse</c:v>
                </c:pt>
                <c:pt idx="340">
                  <c:v>Khoreshe Albaloo</c:v>
                </c:pt>
                <c:pt idx="341">
                  <c:v>Steckrübeneintopf mit Gremolata</c:v>
                </c:pt>
                <c:pt idx="342">
                  <c:v>Thai Curry</c:v>
                </c:pt>
                <c:pt idx="343">
                  <c:v>Rheinischer Heringssalat</c:v>
                </c:pt>
                <c:pt idx="344">
                  <c:v>Hähnchen in Honig-Sesam Sauce und Gemüse</c:v>
                </c:pt>
                <c:pt idx="345">
                  <c:v>Grüne Bohnensuppe auf ungarische Art</c:v>
                </c:pt>
                <c:pt idx="346">
                  <c:v>Koteletts im mediterranem Gemüsebett</c:v>
                </c:pt>
                <c:pt idx="347">
                  <c:v>Gulasch vom Reh</c:v>
                </c:pt>
                <c:pt idx="348">
                  <c:v>Schweinemedaillons in Pfefferrahmsauce</c:v>
                </c:pt>
                <c:pt idx="349">
                  <c:v>Pikante Gyrossuppe</c:v>
                </c:pt>
                <c:pt idx="350">
                  <c:v>Frittata</c:v>
                </c:pt>
                <c:pt idx="351">
                  <c:v>Makkaroni in Tomatensahnesoße</c:v>
                </c:pt>
                <c:pt idx="352">
                  <c:v>Maiscremesuppe mit Bacon</c:v>
                </c:pt>
                <c:pt idx="353">
                  <c:v>Nudeln in Schinken-Pilz-Soße</c:v>
                </c:pt>
                <c:pt idx="354">
                  <c:v>Crespelle alla Bolognese</c:v>
                </c:pt>
                <c:pt idx="355">
                  <c:v>Leber in Tomaten-Zwiebelsauce</c:v>
                </c:pt>
                <c:pt idx="356">
                  <c:v>Gemüsepfanne</c:v>
                </c:pt>
                <c:pt idx="357">
                  <c:v>Fisolenrostbraten mit bunter Semmelknödeltorte</c:v>
                </c:pt>
                <c:pt idx="358">
                  <c:v>Bärlauch - Pizza mit Salami</c:v>
                </c:pt>
                <c:pt idx="359">
                  <c:v>Feurige Hühnerbeinchen</c:v>
                </c:pt>
                <c:pt idx="360">
                  <c:v>Gratin mit Kohlrabi und Hackfleisch</c:v>
                </c:pt>
                <c:pt idx="361">
                  <c:v>Steckrübentaler auf Gemüse mit Sanddornrahm</c:v>
                </c:pt>
                <c:pt idx="362">
                  <c:v>Gefüllte Cannelloni mit Schinken Käse</c:v>
                </c:pt>
                <c:pt idx="363">
                  <c:v>Spinat-Crespelle mit Schinken und Tomaten</c:v>
                </c:pt>
                <c:pt idx="364">
                  <c:v>Hähnchenbruststreifen mit Pflaumen-Schoko Sauce</c:v>
                </c:pt>
                <c:pt idx="365">
                  <c:v>Bärlauch - Pfannkuchen mit Spargel - Schinkenfüllung</c:v>
                </c:pt>
                <c:pt idx="366">
                  <c:v>Buntes Chili con carne</c:v>
                </c:pt>
                <c:pt idx="367">
                  <c:v>Ungarische Paprikanudeln</c:v>
                </c:pt>
                <c:pt idx="368">
                  <c:v>Kaninchen mit Nudeln</c:v>
                </c:pt>
                <c:pt idx="369">
                  <c:v>Gefülltes Gemüse</c:v>
                </c:pt>
                <c:pt idx="370">
                  <c:v>Marinierter Schweinerücken</c:v>
                </c:pt>
                <c:pt idx="371">
                  <c:v>Forellensalat mit Dillkartoffeln</c:v>
                </c:pt>
                <c:pt idx="372">
                  <c:v>Mittelalterliche Lutherpfanne</c:v>
                </c:pt>
                <c:pt idx="373">
                  <c:v>Arroz à la Cubanais</c:v>
                </c:pt>
                <c:pt idx="374">
                  <c:v>Fisch - Cazuela</c:v>
                </c:pt>
                <c:pt idx="375">
                  <c:v>Geschmorter Tafelspitz vom Kalb</c:v>
                </c:pt>
                <c:pt idx="376">
                  <c:v>Pasta mit Auberginen-Zucchini-Sugo</c:v>
                </c:pt>
                <c:pt idx="377">
                  <c:v>Feines Rindsfrikassee mit Spargel und Champignons</c:v>
                </c:pt>
                <c:pt idx="378">
                  <c:v>Grünkernauflauf mit Gemüse</c:v>
                </c:pt>
                <c:pt idx="379">
                  <c:v>Gemüse - Lasagne</c:v>
                </c:pt>
                <c:pt idx="380">
                  <c:v>Lachsfilet mit Nüssen auf Kürbis - Minze - Püree</c:v>
                </c:pt>
                <c:pt idx="381">
                  <c:v>Vegetarische Gemüse - Pilz - Cannelloni</c:v>
                </c:pt>
                <c:pt idx="382">
                  <c:v>Gefülltes Hähnchenbrustfilet auf Sommersalat mit Quinoa</c:v>
                </c:pt>
                <c:pt idx="383">
                  <c:v>Marinierter Tofu auf Linsensalat</c:v>
                </c:pt>
                <c:pt idx="384">
                  <c:v>Hähnchen süßsauer wie im Chinarestaurant</c:v>
                </c:pt>
                <c:pt idx="385">
                  <c:v>Türkischer grüne Bohnentopf</c:v>
                </c:pt>
                <c:pt idx="386">
                  <c:v>Hähnchenspieß mit Speckbananen</c:v>
                </c:pt>
                <c:pt idx="387">
                  <c:v>Würzig gefüllte Pita-Brote</c:v>
                </c:pt>
                <c:pt idx="388">
                  <c:v>Putengeschnetzeltes mit Karotten-Orangen-Soße</c:v>
                </c:pt>
                <c:pt idx="389">
                  <c:v>Japanische Nudelsuppe mit Hühnerbrühe und Schweinefilet-Ramen</c:v>
                </c:pt>
                <c:pt idx="390">
                  <c:v>Lammkotelettes auf Tomatenreis</c:v>
                </c:pt>
                <c:pt idx="391">
                  <c:v>Fisch mit Lauch und Tomaten auf Linsenbett</c:v>
                </c:pt>
                <c:pt idx="392">
                  <c:v>Original Odenwälder Hexenpfännchen</c:v>
                </c:pt>
                <c:pt idx="393">
                  <c:v>Teigtaschen mit Hackfleisch</c:v>
                </c:pt>
                <c:pt idx="394">
                  <c:v>SABO - Spaghetti mit Huhn und Gorgonzola</c:v>
                </c:pt>
                <c:pt idx="395">
                  <c:v>Pikanter Wirsingkohlauflauf</c:v>
                </c:pt>
                <c:pt idx="396">
                  <c:v>Asiatische Nudelpfanne</c:v>
                </c:pt>
                <c:pt idx="397">
                  <c:v>Texas Jailhouse Chili</c:v>
                </c:pt>
                <c:pt idx="398">
                  <c:v>Falscher Hase mit glacierten Möhren und Spätzle</c:v>
                </c:pt>
                <c:pt idx="399">
                  <c:v>Bratwurst - Puffer</c:v>
                </c:pt>
                <c:pt idx="400">
                  <c:v>Mandel - Geflügelsalat</c:v>
                </c:pt>
                <c:pt idx="401">
                  <c:v>Gebratene Nudeln mit Entenbrust</c:v>
                </c:pt>
                <c:pt idx="402">
                  <c:v>Gefüllte Entenkeule mit grünem Selleriepüree und Rotkohl</c:v>
                </c:pt>
                <c:pt idx="403">
                  <c:v>Spargel auf Eierkuchen mit Schinken und weißer Sauce mit Gorgonzola</c:v>
                </c:pt>
                <c:pt idx="404">
                  <c:v>Pizza Low Carb</c:v>
                </c:pt>
                <c:pt idx="405">
                  <c:v>Nizzaer Salat</c:v>
                </c:pt>
                <c:pt idx="406">
                  <c:v>Soja-Lauch-Torte mit Nüssen</c:v>
                </c:pt>
                <c:pt idx="407">
                  <c:v>Bolognese vegan</c:v>
                </c:pt>
                <c:pt idx="408">
                  <c:v>Babooti mit Lamm und Aprikosen</c:v>
                </c:pt>
                <c:pt idx="409">
                  <c:v>Butter mit Honig cremig rühren. Eier und das Vanillemark einrühren. Beide Mehlsorten mit Backpulver mischen. Die Mischung in die Eiermasse einrühren</c:v>
                </c:pt>
                <c:pt idx="410">
                  <c:v>Kürbis-Flammkuchen</c:v>
                </c:pt>
                <c:pt idx="411">
                  <c:v>Blaubeersuppe mit Grießklößchen</c:v>
                </c:pt>
                <c:pt idx="412">
                  <c:v>Blaubeerenauflauf</c:v>
                </c:pt>
                <c:pt idx="413">
                  <c:v>Blaubeerauflauf</c:v>
                </c:pt>
                <c:pt idx="414">
                  <c:v>Rehfilet in Vanille-Blume und Blaubeersauce mit Pfifferlingsknödeln</c:v>
                </c:pt>
                <c:pt idx="415">
                  <c:v>Lamm auf maurische Art</c:v>
                </c:pt>
                <c:pt idx="416">
                  <c:v>Heringsfilets auf Lauchzwiebeln und Tomaten</c:v>
                </c:pt>
                <c:pt idx="417">
                  <c:v>Rotkohl - Borschtsch mit Feigen</c:v>
                </c:pt>
                <c:pt idx="418">
                  <c:v>Fasanenbrust auf Zuckerschotenstroh mit Graupenrisotto an reduziertem Wildvogelfond</c:v>
                </c:pt>
                <c:pt idx="419">
                  <c:v>Staudensellerie-Möhren-Rosinenpfanne</c:v>
                </c:pt>
                <c:pt idx="420">
                  <c:v>Schweinefilet mit Feigen</c:v>
                </c:pt>
                <c:pt idx="421">
                  <c:v>Zanderfilet auf bayrisch Rahmkraut</c:v>
                </c:pt>
                <c:pt idx="422">
                  <c:v>Rahmbuchteln mit Kirschen</c:v>
                </c:pt>
                <c:pt idx="423">
                  <c:v>Kirschenmichel</c:v>
                </c:pt>
                <c:pt idx="424">
                  <c:v>Rehkeule mit Printensauce</c:v>
                </c:pt>
                <c:pt idx="425">
                  <c:v>Süße Lasagne</c:v>
                </c:pt>
                <c:pt idx="426">
                  <c:v>Warnemünder Heringssalat</c:v>
                </c:pt>
                <c:pt idx="427">
                  <c:v>Fruchtiger Nudelsalat</c:v>
                </c:pt>
                <c:pt idx="428">
                  <c:v>Putenschnitzel mit fruchtigem Reis - Curry</c:v>
                </c:pt>
                <c:pt idx="429">
                  <c:v>Indischer Gemüsereis mit Mandarinen</c:v>
                </c:pt>
                <c:pt idx="430">
                  <c:v>Ausgebackener Fisch mit süß - saurer Sauce</c:v>
                </c:pt>
                <c:pt idx="431">
                  <c:v>Wassermelonen-Gazpacho</c:v>
                </c:pt>
                <c:pt idx="432">
                  <c:v>Melonen-Gurken-Salat mit Minze und gerösteten Walnüssen</c:v>
                </c:pt>
                <c:pt idx="433">
                  <c:v>Melonen - Schafskäse Salatschiffche</c:v>
                </c:pt>
                <c:pt idx="434">
                  <c:v>Spanische Honigmelonensuppe</c:v>
                </c:pt>
                <c:pt idx="435">
                  <c:v>Zwetschgen - Rohrnudeln</c:v>
                </c:pt>
                <c:pt idx="436">
                  <c:v>Spätzli Tropical</c:v>
                </c:pt>
                <c:pt idx="437">
                  <c:v>Kabeljau mit Roter Bete</c:v>
                </c:pt>
                <c:pt idx="438">
                  <c:v>Winterlicher Maultaschensalat</c:v>
                </c:pt>
                <c:pt idx="439">
                  <c:v>Gewürz - Entenschlegel mit Steckrübenpüree</c:v>
                </c:pt>
                <c:pt idx="440">
                  <c:v>Schwalbennester mit zartem Gemüse</c:v>
                </c:pt>
                <c:pt idx="441">
                  <c:v>Rotkrautwickel aus dem Backofen</c:v>
                </c:pt>
                <c:pt idx="442">
                  <c:v>Gebratener Reis mit Hühnchen</c:v>
                </c:pt>
                <c:pt idx="443">
                  <c:v>Grießbrei mit Getreidesprossen</c:v>
                </c:pt>
                <c:pt idx="444">
                  <c:v>Spargel mit Poulet in Kokossauce</c:v>
                </c:pt>
                <c:pt idx="445">
                  <c:v>Chinakohlpfanne mit Bandnudeln</c:v>
                </c:pt>
              </c:strCache>
            </c:strRef>
          </c:xVal>
          <c:yVal>
            <c:numRef>
              <c:f>Rezept_Daten!$D$3:$D$448</c:f>
              <c:numCache>
                <c:formatCode>General</c:formatCode>
                <c:ptCount val="446"/>
                <c:pt idx="0" formatCode="#,##0">
                  <c:v>113</c:v>
                </c:pt>
                <c:pt idx="1">
                  <c:v>238</c:v>
                </c:pt>
                <c:pt idx="2" formatCode="#,##0">
                  <c:v>46</c:v>
                </c:pt>
                <c:pt idx="3">
                  <c:v>38</c:v>
                </c:pt>
                <c:pt idx="4">
                  <c:v>405</c:v>
                </c:pt>
                <c:pt idx="5">
                  <c:v>330</c:v>
                </c:pt>
                <c:pt idx="6">
                  <c:v>219</c:v>
                </c:pt>
                <c:pt idx="7" formatCode="#,##0">
                  <c:v>321</c:v>
                </c:pt>
                <c:pt idx="8">
                  <c:v>153</c:v>
                </c:pt>
                <c:pt idx="9">
                  <c:v>377</c:v>
                </c:pt>
                <c:pt idx="10" formatCode="#,##0">
                  <c:v>37</c:v>
                </c:pt>
                <c:pt idx="11">
                  <c:v>470</c:v>
                </c:pt>
                <c:pt idx="12">
                  <c:v>277</c:v>
                </c:pt>
                <c:pt idx="13">
                  <c:v>453</c:v>
                </c:pt>
                <c:pt idx="14" formatCode="#,##0">
                  <c:v>53</c:v>
                </c:pt>
                <c:pt idx="15">
                  <c:v>58</c:v>
                </c:pt>
                <c:pt idx="16">
                  <c:v>374</c:v>
                </c:pt>
                <c:pt idx="17">
                  <c:v>361</c:v>
                </c:pt>
                <c:pt idx="18">
                  <c:v>297</c:v>
                </c:pt>
                <c:pt idx="19">
                  <c:v>822</c:v>
                </c:pt>
                <c:pt idx="20">
                  <c:v>111</c:v>
                </c:pt>
                <c:pt idx="21">
                  <c:v>251</c:v>
                </c:pt>
                <c:pt idx="22">
                  <c:v>423</c:v>
                </c:pt>
                <c:pt idx="23">
                  <c:v>68</c:v>
                </c:pt>
                <c:pt idx="24">
                  <c:v>147</c:v>
                </c:pt>
                <c:pt idx="25">
                  <c:v>161</c:v>
                </c:pt>
                <c:pt idx="26">
                  <c:v>393</c:v>
                </c:pt>
                <c:pt idx="27">
                  <c:v>409</c:v>
                </c:pt>
                <c:pt idx="28">
                  <c:v>81</c:v>
                </c:pt>
                <c:pt idx="29">
                  <c:v>25</c:v>
                </c:pt>
                <c:pt idx="30">
                  <c:v>146</c:v>
                </c:pt>
                <c:pt idx="31">
                  <c:v>182</c:v>
                </c:pt>
                <c:pt idx="32">
                  <c:v>352</c:v>
                </c:pt>
                <c:pt idx="33">
                  <c:v>117</c:v>
                </c:pt>
                <c:pt idx="34">
                  <c:v>117</c:v>
                </c:pt>
                <c:pt idx="35">
                  <c:v>92</c:v>
                </c:pt>
                <c:pt idx="36">
                  <c:v>243</c:v>
                </c:pt>
                <c:pt idx="37">
                  <c:v>157</c:v>
                </c:pt>
                <c:pt idx="38">
                  <c:v>162</c:v>
                </c:pt>
                <c:pt idx="39">
                  <c:v>162</c:v>
                </c:pt>
                <c:pt idx="40">
                  <c:v>62</c:v>
                </c:pt>
                <c:pt idx="41">
                  <c:v>914</c:v>
                </c:pt>
                <c:pt idx="42">
                  <c:v>61</c:v>
                </c:pt>
                <c:pt idx="43">
                  <c:v>417</c:v>
                </c:pt>
                <c:pt idx="44">
                  <c:v>335</c:v>
                </c:pt>
                <c:pt idx="45">
                  <c:v>291</c:v>
                </c:pt>
                <c:pt idx="46">
                  <c:v>269</c:v>
                </c:pt>
                <c:pt idx="47">
                  <c:v>439</c:v>
                </c:pt>
                <c:pt idx="48">
                  <c:v>143</c:v>
                </c:pt>
                <c:pt idx="49">
                  <c:v>205</c:v>
                </c:pt>
                <c:pt idx="50">
                  <c:v>300</c:v>
                </c:pt>
                <c:pt idx="51">
                  <c:v>159</c:v>
                </c:pt>
                <c:pt idx="52">
                  <c:v>300</c:v>
                </c:pt>
                <c:pt idx="53">
                  <c:v>239</c:v>
                </c:pt>
                <c:pt idx="54">
                  <c:v>181</c:v>
                </c:pt>
                <c:pt idx="55">
                  <c:v>328</c:v>
                </c:pt>
                <c:pt idx="56">
                  <c:v>333</c:v>
                </c:pt>
                <c:pt idx="57">
                  <c:v>61</c:v>
                </c:pt>
                <c:pt idx="58">
                  <c:v>353</c:v>
                </c:pt>
                <c:pt idx="59">
                  <c:v>269</c:v>
                </c:pt>
                <c:pt idx="60">
                  <c:v>958</c:v>
                </c:pt>
                <c:pt idx="61">
                  <c:v>197</c:v>
                </c:pt>
                <c:pt idx="62">
                  <c:v>103</c:v>
                </c:pt>
                <c:pt idx="63">
                  <c:v>676</c:v>
                </c:pt>
                <c:pt idx="64">
                  <c:v>135</c:v>
                </c:pt>
                <c:pt idx="65">
                  <c:v>126</c:v>
                </c:pt>
                <c:pt idx="66">
                  <c:v>124</c:v>
                </c:pt>
                <c:pt idx="67">
                  <c:v>242</c:v>
                </c:pt>
                <c:pt idx="68">
                  <c:v>144</c:v>
                </c:pt>
                <c:pt idx="69">
                  <c:v>97</c:v>
                </c:pt>
                <c:pt idx="70">
                  <c:v>242</c:v>
                </c:pt>
                <c:pt idx="71">
                  <c:v>174</c:v>
                </c:pt>
                <c:pt idx="72">
                  <c:v>194</c:v>
                </c:pt>
                <c:pt idx="73">
                  <c:v>153</c:v>
                </c:pt>
                <c:pt idx="74">
                  <c:v>150</c:v>
                </c:pt>
                <c:pt idx="75">
                  <c:v>208</c:v>
                </c:pt>
                <c:pt idx="76">
                  <c:v>202</c:v>
                </c:pt>
                <c:pt idx="77">
                  <c:v>27</c:v>
                </c:pt>
                <c:pt idx="78">
                  <c:v>431</c:v>
                </c:pt>
                <c:pt idx="79">
                  <c:v>254</c:v>
                </c:pt>
                <c:pt idx="80">
                  <c:v>451</c:v>
                </c:pt>
                <c:pt idx="81">
                  <c:v>799</c:v>
                </c:pt>
                <c:pt idx="82">
                  <c:v>80</c:v>
                </c:pt>
                <c:pt idx="83">
                  <c:v>192</c:v>
                </c:pt>
                <c:pt idx="84">
                  <c:v>467</c:v>
                </c:pt>
                <c:pt idx="85">
                  <c:v>66</c:v>
                </c:pt>
                <c:pt idx="86">
                  <c:v>338</c:v>
                </c:pt>
                <c:pt idx="87">
                  <c:v>498</c:v>
                </c:pt>
                <c:pt idx="88">
                  <c:v>214</c:v>
                </c:pt>
                <c:pt idx="89">
                  <c:v>141</c:v>
                </c:pt>
                <c:pt idx="90">
                  <c:v>208</c:v>
                </c:pt>
                <c:pt idx="91">
                  <c:v>319</c:v>
                </c:pt>
                <c:pt idx="92">
                  <c:v>319</c:v>
                </c:pt>
                <c:pt idx="93">
                  <c:v>279</c:v>
                </c:pt>
                <c:pt idx="94">
                  <c:v>144</c:v>
                </c:pt>
                <c:pt idx="95">
                  <c:v>94</c:v>
                </c:pt>
                <c:pt idx="96">
                  <c:v>286</c:v>
                </c:pt>
                <c:pt idx="97">
                  <c:v>148</c:v>
                </c:pt>
                <c:pt idx="98">
                  <c:v>268</c:v>
                </c:pt>
                <c:pt idx="99">
                  <c:v>989</c:v>
                </c:pt>
                <c:pt idx="100">
                  <c:v>792</c:v>
                </c:pt>
                <c:pt idx="101">
                  <c:v>262</c:v>
                </c:pt>
                <c:pt idx="102">
                  <c:v>120</c:v>
                </c:pt>
                <c:pt idx="103">
                  <c:v>188</c:v>
                </c:pt>
                <c:pt idx="104">
                  <c:v>236</c:v>
                </c:pt>
                <c:pt idx="105">
                  <c:v>437</c:v>
                </c:pt>
                <c:pt idx="106">
                  <c:v>400</c:v>
                </c:pt>
                <c:pt idx="107">
                  <c:v>174</c:v>
                </c:pt>
                <c:pt idx="108">
                  <c:v>28</c:v>
                </c:pt>
                <c:pt idx="109">
                  <c:v>141</c:v>
                </c:pt>
                <c:pt idx="110">
                  <c:v>31</c:v>
                </c:pt>
                <c:pt idx="111">
                  <c:v>225</c:v>
                </c:pt>
                <c:pt idx="112">
                  <c:v>391</c:v>
                </c:pt>
                <c:pt idx="113">
                  <c:v>190</c:v>
                </c:pt>
                <c:pt idx="114">
                  <c:v>1054</c:v>
                </c:pt>
                <c:pt idx="115">
                  <c:v>377</c:v>
                </c:pt>
                <c:pt idx="116">
                  <c:v>415</c:v>
                </c:pt>
                <c:pt idx="117">
                  <c:v>107</c:v>
                </c:pt>
                <c:pt idx="118">
                  <c:v>179</c:v>
                </c:pt>
                <c:pt idx="119">
                  <c:v>373</c:v>
                </c:pt>
                <c:pt idx="120">
                  <c:v>182</c:v>
                </c:pt>
                <c:pt idx="121">
                  <c:v>334</c:v>
                </c:pt>
                <c:pt idx="122">
                  <c:v>110</c:v>
                </c:pt>
                <c:pt idx="123">
                  <c:v>444</c:v>
                </c:pt>
                <c:pt idx="124">
                  <c:v>86</c:v>
                </c:pt>
                <c:pt idx="125">
                  <c:v>215</c:v>
                </c:pt>
                <c:pt idx="126">
                  <c:v>240</c:v>
                </c:pt>
                <c:pt idx="127">
                  <c:v>157</c:v>
                </c:pt>
                <c:pt idx="128">
                  <c:v>272</c:v>
                </c:pt>
                <c:pt idx="129">
                  <c:v>162</c:v>
                </c:pt>
                <c:pt idx="130">
                  <c:v>261</c:v>
                </c:pt>
                <c:pt idx="131">
                  <c:v>39</c:v>
                </c:pt>
                <c:pt idx="132">
                  <c:v>281</c:v>
                </c:pt>
                <c:pt idx="133">
                  <c:v>266</c:v>
                </c:pt>
                <c:pt idx="134">
                  <c:v>296</c:v>
                </c:pt>
                <c:pt idx="135">
                  <c:v>598</c:v>
                </c:pt>
                <c:pt idx="136">
                  <c:v>403</c:v>
                </c:pt>
                <c:pt idx="137">
                  <c:v>49</c:v>
                </c:pt>
                <c:pt idx="138">
                  <c:v>99</c:v>
                </c:pt>
                <c:pt idx="139">
                  <c:v>196</c:v>
                </c:pt>
                <c:pt idx="140">
                  <c:v>352</c:v>
                </c:pt>
                <c:pt idx="141">
                  <c:v>997</c:v>
                </c:pt>
                <c:pt idx="142">
                  <c:v>162</c:v>
                </c:pt>
                <c:pt idx="143">
                  <c:v>363</c:v>
                </c:pt>
                <c:pt idx="144">
                  <c:v>103</c:v>
                </c:pt>
                <c:pt idx="145">
                  <c:v>261</c:v>
                </c:pt>
                <c:pt idx="146">
                  <c:v>400</c:v>
                </c:pt>
                <c:pt idx="147">
                  <c:v>100</c:v>
                </c:pt>
                <c:pt idx="148">
                  <c:v>952</c:v>
                </c:pt>
                <c:pt idx="149">
                  <c:v>219</c:v>
                </c:pt>
                <c:pt idx="150">
                  <c:v>124</c:v>
                </c:pt>
                <c:pt idx="151">
                  <c:v>416</c:v>
                </c:pt>
                <c:pt idx="152">
                  <c:v>155</c:v>
                </c:pt>
                <c:pt idx="153">
                  <c:v>815</c:v>
                </c:pt>
                <c:pt idx="154">
                  <c:v>511</c:v>
                </c:pt>
                <c:pt idx="155">
                  <c:v>131</c:v>
                </c:pt>
                <c:pt idx="156">
                  <c:v>324</c:v>
                </c:pt>
                <c:pt idx="157">
                  <c:v>563</c:v>
                </c:pt>
                <c:pt idx="158">
                  <c:v>172</c:v>
                </c:pt>
                <c:pt idx="159">
                  <c:v>271</c:v>
                </c:pt>
                <c:pt idx="160">
                  <c:v>137</c:v>
                </c:pt>
                <c:pt idx="161">
                  <c:v>101</c:v>
                </c:pt>
                <c:pt idx="162">
                  <c:v>131</c:v>
                </c:pt>
                <c:pt idx="163">
                  <c:v>316</c:v>
                </c:pt>
                <c:pt idx="164">
                  <c:v>158</c:v>
                </c:pt>
                <c:pt idx="165">
                  <c:v>187</c:v>
                </c:pt>
                <c:pt idx="166">
                  <c:v>48</c:v>
                </c:pt>
                <c:pt idx="167">
                  <c:v>193</c:v>
                </c:pt>
                <c:pt idx="168">
                  <c:v>250</c:v>
                </c:pt>
                <c:pt idx="169">
                  <c:v>437</c:v>
                </c:pt>
                <c:pt idx="170">
                  <c:v>246</c:v>
                </c:pt>
                <c:pt idx="171">
                  <c:v>166</c:v>
                </c:pt>
                <c:pt idx="172">
                  <c:v>224</c:v>
                </c:pt>
                <c:pt idx="173">
                  <c:v>81</c:v>
                </c:pt>
                <c:pt idx="174">
                  <c:v>731</c:v>
                </c:pt>
                <c:pt idx="175">
                  <c:v>217</c:v>
                </c:pt>
                <c:pt idx="176">
                  <c:v>274</c:v>
                </c:pt>
                <c:pt idx="177">
                  <c:v>99</c:v>
                </c:pt>
                <c:pt idx="178">
                  <c:v>405</c:v>
                </c:pt>
                <c:pt idx="179">
                  <c:v>722</c:v>
                </c:pt>
                <c:pt idx="180">
                  <c:v>161</c:v>
                </c:pt>
                <c:pt idx="181">
                  <c:v>343</c:v>
                </c:pt>
                <c:pt idx="182">
                  <c:v>183</c:v>
                </c:pt>
                <c:pt idx="183">
                  <c:v>468</c:v>
                </c:pt>
                <c:pt idx="184">
                  <c:v>103</c:v>
                </c:pt>
                <c:pt idx="185">
                  <c:v>461</c:v>
                </c:pt>
                <c:pt idx="186">
                  <c:v>259</c:v>
                </c:pt>
                <c:pt idx="187">
                  <c:v>46</c:v>
                </c:pt>
                <c:pt idx="188">
                  <c:v>648</c:v>
                </c:pt>
                <c:pt idx="189">
                  <c:v>186</c:v>
                </c:pt>
                <c:pt idx="190">
                  <c:v>54</c:v>
                </c:pt>
                <c:pt idx="191">
                  <c:v>916</c:v>
                </c:pt>
                <c:pt idx="192">
                  <c:v>208</c:v>
                </c:pt>
                <c:pt idx="193">
                  <c:v>247</c:v>
                </c:pt>
                <c:pt idx="194">
                  <c:v>372</c:v>
                </c:pt>
                <c:pt idx="195">
                  <c:v>332</c:v>
                </c:pt>
                <c:pt idx="196">
                  <c:v>237</c:v>
                </c:pt>
                <c:pt idx="197">
                  <c:v>1010</c:v>
                </c:pt>
                <c:pt idx="198">
                  <c:v>722</c:v>
                </c:pt>
                <c:pt idx="199">
                  <c:v>345</c:v>
                </c:pt>
                <c:pt idx="200">
                  <c:v>236</c:v>
                </c:pt>
                <c:pt idx="201">
                  <c:v>382</c:v>
                </c:pt>
                <c:pt idx="202">
                  <c:v>453</c:v>
                </c:pt>
                <c:pt idx="203">
                  <c:v>163</c:v>
                </c:pt>
                <c:pt idx="204">
                  <c:v>379</c:v>
                </c:pt>
                <c:pt idx="205">
                  <c:v>265</c:v>
                </c:pt>
                <c:pt idx="206">
                  <c:v>234</c:v>
                </c:pt>
                <c:pt idx="207">
                  <c:v>255</c:v>
                </c:pt>
                <c:pt idx="208">
                  <c:v>616</c:v>
                </c:pt>
                <c:pt idx="209">
                  <c:v>77</c:v>
                </c:pt>
                <c:pt idx="210">
                  <c:v>415</c:v>
                </c:pt>
                <c:pt idx="211">
                  <c:v>144</c:v>
                </c:pt>
                <c:pt idx="212">
                  <c:v>753</c:v>
                </c:pt>
                <c:pt idx="213">
                  <c:v>321</c:v>
                </c:pt>
                <c:pt idx="214">
                  <c:v>322</c:v>
                </c:pt>
                <c:pt idx="215">
                  <c:v>175</c:v>
                </c:pt>
                <c:pt idx="216">
                  <c:v>305</c:v>
                </c:pt>
                <c:pt idx="217">
                  <c:v>156</c:v>
                </c:pt>
                <c:pt idx="218">
                  <c:v>223</c:v>
                </c:pt>
                <c:pt idx="219">
                  <c:v>376</c:v>
                </c:pt>
                <c:pt idx="220">
                  <c:v>93</c:v>
                </c:pt>
                <c:pt idx="221">
                  <c:v>120</c:v>
                </c:pt>
                <c:pt idx="222">
                  <c:v>128</c:v>
                </c:pt>
                <c:pt idx="223">
                  <c:v>168</c:v>
                </c:pt>
                <c:pt idx="224">
                  <c:v>286</c:v>
                </c:pt>
                <c:pt idx="225">
                  <c:v>189</c:v>
                </c:pt>
                <c:pt idx="226">
                  <c:v>184</c:v>
                </c:pt>
                <c:pt idx="227">
                  <c:v>125</c:v>
                </c:pt>
                <c:pt idx="228">
                  <c:v>457</c:v>
                </c:pt>
                <c:pt idx="229">
                  <c:v>21</c:v>
                </c:pt>
                <c:pt idx="230">
                  <c:v>343</c:v>
                </c:pt>
                <c:pt idx="231">
                  <c:v>360</c:v>
                </c:pt>
                <c:pt idx="232">
                  <c:v>316</c:v>
                </c:pt>
                <c:pt idx="233">
                  <c:v>88</c:v>
                </c:pt>
                <c:pt idx="234">
                  <c:v>375</c:v>
                </c:pt>
                <c:pt idx="235">
                  <c:v>416</c:v>
                </c:pt>
                <c:pt idx="236">
                  <c:v>54</c:v>
                </c:pt>
                <c:pt idx="237">
                  <c:v>788</c:v>
                </c:pt>
                <c:pt idx="238">
                  <c:v>182</c:v>
                </c:pt>
                <c:pt idx="239">
                  <c:v>269</c:v>
                </c:pt>
                <c:pt idx="240">
                  <c:v>216</c:v>
                </c:pt>
                <c:pt idx="241">
                  <c:v>112</c:v>
                </c:pt>
                <c:pt idx="242">
                  <c:v>60</c:v>
                </c:pt>
                <c:pt idx="243">
                  <c:v>208</c:v>
                </c:pt>
                <c:pt idx="244">
                  <c:v>225</c:v>
                </c:pt>
                <c:pt idx="245">
                  <c:v>399</c:v>
                </c:pt>
                <c:pt idx="246">
                  <c:v>185</c:v>
                </c:pt>
                <c:pt idx="247">
                  <c:v>366</c:v>
                </c:pt>
                <c:pt idx="248">
                  <c:v>50</c:v>
                </c:pt>
                <c:pt idx="249">
                  <c:v>260</c:v>
                </c:pt>
                <c:pt idx="250">
                  <c:v>103</c:v>
                </c:pt>
                <c:pt idx="251">
                  <c:v>212</c:v>
                </c:pt>
                <c:pt idx="252">
                  <c:v>739</c:v>
                </c:pt>
                <c:pt idx="253">
                  <c:v>145</c:v>
                </c:pt>
                <c:pt idx="254">
                  <c:v>55</c:v>
                </c:pt>
                <c:pt idx="255">
                  <c:v>429</c:v>
                </c:pt>
                <c:pt idx="256">
                  <c:v>446</c:v>
                </c:pt>
                <c:pt idx="257">
                  <c:v>100</c:v>
                </c:pt>
                <c:pt idx="258">
                  <c:v>147</c:v>
                </c:pt>
                <c:pt idx="259">
                  <c:v>458</c:v>
                </c:pt>
                <c:pt idx="260">
                  <c:v>368</c:v>
                </c:pt>
                <c:pt idx="261">
                  <c:v>95</c:v>
                </c:pt>
                <c:pt idx="262">
                  <c:v>84</c:v>
                </c:pt>
                <c:pt idx="263">
                  <c:v>314</c:v>
                </c:pt>
                <c:pt idx="264">
                  <c:v>79</c:v>
                </c:pt>
                <c:pt idx="265">
                  <c:v>81</c:v>
                </c:pt>
                <c:pt idx="266">
                  <c:v>38</c:v>
                </c:pt>
                <c:pt idx="267">
                  <c:v>33</c:v>
                </c:pt>
                <c:pt idx="268">
                  <c:v>182</c:v>
                </c:pt>
                <c:pt idx="269">
                  <c:v>89</c:v>
                </c:pt>
                <c:pt idx="270">
                  <c:v>30</c:v>
                </c:pt>
                <c:pt idx="271">
                  <c:v>63</c:v>
                </c:pt>
                <c:pt idx="272">
                  <c:v>128</c:v>
                </c:pt>
                <c:pt idx="273">
                  <c:v>709</c:v>
                </c:pt>
                <c:pt idx="274">
                  <c:v>246</c:v>
                </c:pt>
                <c:pt idx="275">
                  <c:v>105</c:v>
                </c:pt>
                <c:pt idx="276">
                  <c:v>94</c:v>
                </c:pt>
                <c:pt idx="277">
                  <c:v>282</c:v>
                </c:pt>
                <c:pt idx="278">
                  <c:v>199</c:v>
                </c:pt>
                <c:pt idx="279">
                  <c:v>522</c:v>
                </c:pt>
                <c:pt idx="280">
                  <c:v>138</c:v>
                </c:pt>
                <c:pt idx="281">
                  <c:v>232</c:v>
                </c:pt>
                <c:pt idx="282">
                  <c:v>132</c:v>
                </c:pt>
                <c:pt idx="283">
                  <c:v>424</c:v>
                </c:pt>
                <c:pt idx="284">
                  <c:v>87</c:v>
                </c:pt>
                <c:pt idx="285">
                  <c:v>144</c:v>
                </c:pt>
                <c:pt idx="286">
                  <c:v>618</c:v>
                </c:pt>
                <c:pt idx="287">
                  <c:v>154</c:v>
                </c:pt>
                <c:pt idx="288">
                  <c:v>65</c:v>
                </c:pt>
                <c:pt idx="289">
                  <c:v>148</c:v>
                </c:pt>
                <c:pt idx="290">
                  <c:v>609</c:v>
                </c:pt>
                <c:pt idx="291">
                  <c:v>395</c:v>
                </c:pt>
                <c:pt idx="292">
                  <c:v>212</c:v>
                </c:pt>
                <c:pt idx="293">
                  <c:v>361</c:v>
                </c:pt>
                <c:pt idx="294">
                  <c:v>56</c:v>
                </c:pt>
                <c:pt idx="295">
                  <c:v>212</c:v>
                </c:pt>
                <c:pt idx="296">
                  <c:v>333</c:v>
                </c:pt>
                <c:pt idx="297">
                  <c:v>42</c:v>
                </c:pt>
                <c:pt idx="298">
                  <c:v>88</c:v>
                </c:pt>
                <c:pt idx="299">
                  <c:v>141</c:v>
                </c:pt>
                <c:pt idx="300">
                  <c:v>315</c:v>
                </c:pt>
                <c:pt idx="301">
                  <c:v>249</c:v>
                </c:pt>
                <c:pt idx="302">
                  <c:v>348</c:v>
                </c:pt>
                <c:pt idx="303">
                  <c:v>219</c:v>
                </c:pt>
                <c:pt idx="304">
                  <c:v>71</c:v>
                </c:pt>
                <c:pt idx="305">
                  <c:v>502</c:v>
                </c:pt>
                <c:pt idx="306">
                  <c:v>274</c:v>
                </c:pt>
                <c:pt idx="307">
                  <c:v>183</c:v>
                </c:pt>
                <c:pt idx="308">
                  <c:v>194</c:v>
                </c:pt>
                <c:pt idx="309">
                  <c:v>145</c:v>
                </c:pt>
                <c:pt idx="310">
                  <c:v>148</c:v>
                </c:pt>
                <c:pt idx="311">
                  <c:v>179</c:v>
                </c:pt>
                <c:pt idx="312">
                  <c:v>789</c:v>
                </c:pt>
                <c:pt idx="313">
                  <c:v>94</c:v>
                </c:pt>
                <c:pt idx="314">
                  <c:v>146</c:v>
                </c:pt>
                <c:pt idx="315">
                  <c:v>388</c:v>
                </c:pt>
                <c:pt idx="316">
                  <c:v>119</c:v>
                </c:pt>
                <c:pt idx="317">
                  <c:v>43</c:v>
                </c:pt>
                <c:pt idx="318">
                  <c:v>168</c:v>
                </c:pt>
                <c:pt idx="319">
                  <c:v>136</c:v>
                </c:pt>
                <c:pt idx="320">
                  <c:v>233</c:v>
                </c:pt>
                <c:pt idx="321">
                  <c:v>43</c:v>
                </c:pt>
                <c:pt idx="322">
                  <c:v>314</c:v>
                </c:pt>
                <c:pt idx="323">
                  <c:v>44</c:v>
                </c:pt>
                <c:pt idx="324">
                  <c:v>95</c:v>
                </c:pt>
                <c:pt idx="325">
                  <c:v>418</c:v>
                </c:pt>
                <c:pt idx="326">
                  <c:v>179</c:v>
                </c:pt>
                <c:pt idx="327">
                  <c:v>194</c:v>
                </c:pt>
                <c:pt idx="328">
                  <c:v>296</c:v>
                </c:pt>
                <c:pt idx="329">
                  <c:v>543</c:v>
                </c:pt>
                <c:pt idx="330">
                  <c:v>198</c:v>
                </c:pt>
                <c:pt idx="331">
                  <c:v>750</c:v>
                </c:pt>
                <c:pt idx="332">
                  <c:v>413</c:v>
                </c:pt>
                <c:pt idx="333">
                  <c:v>260</c:v>
                </c:pt>
                <c:pt idx="334">
                  <c:v>229</c:v>
                </c:pt>
                <c:pt idx="335">
                  <c:v>193</c:v>
                </c:pt>
                <c:pt idx="336">
                  <c:v>168</c:v>
                </c:pt>
                <c:pt idx="337">
                  <c:v>741</c:v>
                </c:pt>
                <c:pt idx="338">
                  <c:v>291</c:v>
                </c:pt>
                <c:pt idx="339">
                  <c:v>415</c:v>
                </c:pt>
                <c:pt idx="340">
                  <c:v>820</c:v>
                </c:pt>
                <c:pt idx="341">
                  <c:v>78</c:v>
                </c:pt>
                <c:pt idx="342">
                  <c:v>328</c:v>
                </c:pt>
                <c:pt idx="343">
                  <c:v>158</c:v>
                </c:pt>
                <c:pt idx="344">
                  <c:v>327</c:v>
                </c:pt>
                <c:pt idx="345">
                  <c:v>156</c:v>
                </c:pt>
                <c:pt idx="346">
                  <c:v>175</c:v>
                </c:pt>
                <c:pt idx="347">
                  <c:v>257</c:v>
                </c:pt>
                <c:pt idx="348">
                  <c:v>385</c:v>
                </c:pt>
                <c:pt idx="349">
                  <c:v>370</c:v>
                </c:pt>
                <c:pt idx="350">
                  <c:v>159</c:v>
                </c:pt>
                <c:pt idx="351">
                  <c:v>143</c:v>
                </c:pt>
                <c:pt idx="352">
                  <c:v>190</c:v>
                </c:pt>
                <c:pt idx="353">
                  <c:v>184</c:v>
                </c:pt>
                <c:pt idx="354">
                  <c:v>282</c:v>
                </c:pt>
                <c:pt idx="355">
                  <c:v>391</c:v>
                </c:pt>
                <c:pt idx="356">
                  <c:v>134</c:v>
                </c:pt>
                <c:pt idx="357">
                  <c:v>263</c:v>
                </c:pt>
                <c:pt idx="358">
                  <c:v>284</c:v>
                </c:pt>
                <c:pt idx="359">
                  <c:v>224</c:v>
                </c:pt>
                <c:pt idx="360">
                  <c:v>307</c:v>
                </c:pt>
                <c:pt idx="361">
                  <c:v>155</c:v>
                </c:pt>
                <c:pt idx="362">
                  <c:v>185</c:v>
                </c:pt>
                <c:pt idx="363">
                  <c:v>136</c:v>
                </c:pt>
                <c:pt idx="364">
                  <c:v>232</c:v>
                </c:pt>
                <c:pt idx="365">
                  <c:v>101</c:v>
                </c:pt>
                <c:pt idx="366">
                  <c:v>398</c:v>
                </c:pt>
                <c:pt idx="367">
                  <c:v>184</c:v>
                </c:pt>
                <c:pt idx="368">
                  <c:v>552</c:v>
                </c:pt>
                <c:pt idx="369">
                  <c:v>330</c:v>
                </c:pt>
                <c:pt idx="370">
                  <c:v>244</c:v>
                </c:pt>
                <c:pt idx="371">
                  <c:v>65</c:v>
                </c:pt>
                <c:pt idx="372">
                  <c:v>350</c:v>
                </c:pt>
                <c:pt idx="373">
                  <c:v>433</c:v>
                </c:pt>
                <c:pt idx="374">
                  <c:v>38</c:v>
                </c:pt>
                <c:pt idx="375">
                  <c:v>1140</c:v>
                </c:pt>
                <c:pt idx="376">
                  <c:v>131</c:v>
                </c:pt>
                <c:pt idx="377">
                  <c:v>510</c:v>
                </c:pt>
                <c:pt idx="378">
                  <c:v>90</c:v>
                </c:pt>
                <c:pt idx="379">
                  <c:v>123</c:v>
                </c:pt>
                <c:pt idx="380">
                  <c:v>443</c:v>
                </c:pt>
                <c:pt idx="381">
                  <c:v>143</c:v>
                </c:pt>
                <c:pt idx="382">
                  <c:v>153</c:v>
                </c:pt>
                <c:pt idx="383">
                  <c:v>81</c:v>
                </c:pt>
                <c:pt idx="384">
                  <c:v>225</c:v>
                </c:pt>
                <c:pt idx="385">
                  <c:v>214</c:v>
                </c:pt>
                <c:pt idx="386">
                  <c:v>220</c:v>
                </c:pt>
                <c:pt idx="387">
                  <c:v>214</c:v>
                </c:pt>
                <c:pt idx="388">
                  <c:v>320</c:v>
                </c:pt>
                <c:pt idx="389">
                  <c:v>225</c:v>
                </c:pt>
                <c:pt idx="390">
                  <c:v>908</c:v>
                </c:pt>
                <c:pt idx="391">
                  <c:v>419</c:v>
                </c:pt>
                <c:pt idx="392">
                  <c:v>267</c:v>
                </c:pt>
                <c:pt idx="393">
                  <c:v>495</c:v>
                </c:pt>
                <c:pt idx="394">
                  <c:v>244</c:v>
                </c:pt>
                <c:pt idx="395">
                  <c:v>64</c:v>
                </c:pt>
                <c:pt idx="396">
                  <c:v>219</c:v>
                </c:pt>
                <c:pt idx="397">
                  <c:v>490</c:v>
                </c:pt>
                <c:pt idx="398">
                  <c:v>309</c:v>
                </c:pt>
                <c:pt idx="399">
                  <c:v>137</c:v>
                </c:pt>
                <c:pt idx="400">
                  <c:v>323</c:v>
                </c:pt>
                <c:pt idx="401">
                  <c:v>137</c:v>
                </c:pt>
                <c:pt idx="402">
                  <c:v>207</c:v>
                </c:pt>
                <c:pt idx="403">
                  <c:v>101</c:v>
                </c:pt>
                <c:pt idx="404">
                  <c:v>96</c:v>
                </c:pt>
                <c:pt idx="405">
                  <c:v>50</c:v>
                </c:pt>
                <c:pt idx="406">
                  <c:v>199</c:v>
                </c:pt>
                <c:pt idx="407">
                  <c:v>58</c:v>
                </c:pt>
                <c:pt idx="408">
                  <c:v>674</c:v>
                </c:pt>
                <c:pt idx="409">
                  <c:v>177</c:v>
                </c:pt>
                <c:pt idx="410">
                  <c:v>100</c:v>
                </c:pt>
                <c:pt idx="411">
                  <c:v>124</c:v>
                </c:pt>
                <c:pt idx="412">
                  <c:v>152</c:v>
                </c:pt>
                <c:pt idx="413">
                  <c:v>132</c:v>
                </c:pt>
                <c:pt idx="414">
                  <c:v>815</c:v>
                </c:pt>
                <c:pt idx="415">
                  <c:v>1460</c:v>
                </c:pt>
                <c:pt idx="416">
                  <c:v>80</c:v>
                </c:pt>
                <c:pt idx="417">
                  <c:v>81</c:v>
                </c:pt>
                <c:pt idx="418">
                  <c:v>22</c:v>
                </c:pt>
                <c:pt idx="419">
                  <c:v>139</c:v>
                </c:pt>
                <c:pt idx="420">
                  <c:v>287</c:v>
                </c:pt>
                <c:pt idx="421">
                  <c:v>106</c:v>
                </c:pt>
                <c:pt idx="422">
                  <c:v>118</c:v>
                </c:pt>
                <c:pt idx="423">
                  <c:v>127</c:v>
                </c:pt>
                <c:pt idx="424">
                  <c:v>982</c:v>
                </c:pt>
                <c:pt idx="425">
                  <c:v>254</c:v>
                </c:pt>
                <c:pt idx="426">
                  <c:v>66</c:v>
                </c:pt>
                <c:pt idx="427">
                  <c:v>246</c:v>
                </c:pt>
                <c:pt idx="428">
                  <c:v>297</c:v>
                </c:pt>
                <c:pt idx="429">
                  <c:v>84</c:v>
                </c:pt>
                <c:pt idx="430">
                  <c:v>207</c:v>
                </c:pt>
                <c:pt idx="431">
                  <c:v>76</c:v>
                </c:pt>
                <c:pt idx="432">
                  <c:v>48</c:v>
                </c:pt>
                <c:pt idx="433">
                  <c:v>64</c:v>
                </c:pt>
                <c:pt idx="434">
                  <c:v>71</c:v>
                </c:pt>
                <c:pt idx="435">
                  <c:v>140</c:v>
                </c:pt>
                <c:pt idx="436">
                  <c:v>102</c:v>
                </c:pt>
                <c:pt idx="437">
                  <c:v>85</c:v>
                </c:pt>
                <c:pt idx="438">
                  <c:v>51</c:v>
                </c:pt>
                <c:pt idx="439">
                  <c:v>172</c:v>
                </c:pt>
                <c:pt idx="440">
                  <c:v>73</c:v>
                </c:pt>
                <c:pt idx="441">
                  <c:v>458</c:v>
                </c:pt>
                <c:pt idx="442">
                  <c:v>313</c:v>
                </c:pt>
                <c:pt idx="443">
                  <c:v>295</c:v>
                </c:pt>
                <c:pt idx="444">
                  <c:v>128</c:v>
                </c:pt>
                <c:pt idx="445">
                  <c:v>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6-4BA6-87FE-0821F01F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447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Rezept_Daten!$E$2</c:f>
              <c:strCache>
                <c:ptCount val="1"/>
                <c:pt idx="0">
                  <c:v>CO2 Normallisiert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dPt>
            <c:idx val="52"/>
            <c:marker>
              <c:symbol val="circle"/>
              <c:size val="5"/>
              <c:spPr>
                <a:solidFill>
                  <a:schemeClr val="dk1">
                    <a:tint val="88500"/>
                  </a:schemeClr>
                </a:solidFill>
                <a:ln w="9525">
                  <a:solidFill>
                    <a:schemeClr val="dk1">
                      <a:tint val="885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AEE-4AC1-B58F-CAA3F8878B91}"/>
              </c:ext>
            </c:extLst>
          </c:dPt>
          <c:xVal>
            <c:strRef>
              <c:f>Rezept_Daten!$C$3:$C$448</c:f>
              <c:strCache>
                <c:ptCount val="446"/>
                <c:pt idx="0">
                  <c:v>Palajitas</c:v>
                </c:pt>
                <c:pt idx="1">
                  <c:v>Asiatisches Schweinefilet aus dem Wok</c:v>
                </c:pt>
                <c:pt idx="2">
                  <c:v>Neapolitaner Minestrone</c:v>
                </c:pt>
                <c:pt idx="3">
                  <c:v>Rievkooche-Burger</c:v>
                </c:pt>
                <c:pt idx="4">
                  <c:v>Griechischer Hackbraten und Gurkensalat mit Joghurt</c:v>
                </c:pt>
                <c:pt idx="5">
                  <c:v>Pizza-Raclette</c:v>
                </c:pt>
                <c:pt idx="6">
                  <c:v>Bunter Sommersalat mit Putenbruststreifen und Caesars Dressing</c:v>
                </c:pt>
                <c:pt idx="7">
                  <c:v>Fischsuppe à la Krakenes Fyr</c:v>
                </c:pt>
                <c:pt idx="8">
                  <c:v>Dorsch Rückenfilet mit Waldkräutersenfkruste auf Tomaten - Gemüserisotto</c:v>
                </c:pt>
                <c:pt idx="9">
                  <c:v>Kürbis-Moussaka</c:v>
                </c:pt>
                <c:pt idx="10">
                  <c:v>Linsen-Kartoffeleintopf</c:v>
                </c:pt>
                <c:pt idx="11">
                  <c:v>Cannelloni mit Kalbfleisch - Artischockenfüllung und Käsesauce</c:v>
                </c:pt>
                <c:pt idx="12">
                  <c:v>Kürbistarte mit Schafskäse</c:v>
                </c:pt>
                <c:pt idx="13">
                  <c:v>Chefkoch Pulled Teriyaki-Lachs-Burger</c:v>
                </c:pt>
                <c:pt idx="14">
                  <c:v>Türkische Gemüsesuppe</c:v>
                </c:pt>
                <c:pt idx="15">
                  <c:v>Cashew-Spinat-Lasagne</c:v>
                </c:pt>
                <c:pt idx="16">
                  <c:v>Rinderrouladen nach Ammerländer Art</c:v>
                </c:pt>
                <c:pt idx="17">
                  <c:v>Orientalisch gefüllter Kürbis</c:v>
                </c:pt>
                <c:pt idx="18">
                  <c:v>Grillplatte mit Fleisch und Gemüse</c:v>
                </c:pt>
                <c:pt idx="19">
                  <c:v>Erdnuss-Hackbällchen in Currysauce</c:v>
                </c:pt>
                <c:pt idx="20">
                  <c:v>Bouillabaisse Marseillaise</c:v>
                </c:pt>
                <c:pt idx="21">
                  <c:v>Rosenkohlgemüse mit Mini - Frikadellen</c:v>
                </c:pt>
                <c:pt idx="22">
                  <c:v>Crêpes mit Mittelmeerfrüchten</c:v>
                </c:pt>
                <c:pt idx="23">
                  <c:v>Sommerpfannkuchen mit Zucchini-Knoblauch-Frischkäse-Füllung</c:v>
                </c:pt>
                <c:pt idx="24">
                  <c:v>Erdbeerspargelsalat auf Wildkräuterbett u.v.m.</c:v>
                </c:pt>
                <c:pt idx="25">
                  <c:v>Italienischer Silvestersalat</c:v>
                </c:pt>
                <c:pt idx="26">
                  <c:v>Currygeschnetzeltes mit Mandelreis</c:v>
                </c:pt>
                <c:pt idx="27">
                  <c:v>Das beste Chili con Carne</c:v>
                </c:pt>
                <c:pt idx="28">
                  <c:v>Gefüllter Gänsebraten mit Serviettenknödeln</c:v>
                </c:pt>
                <c:pt idx="29">
                  <c:v>Bunter Hackfleisch-Gemüse-Eintopf</c:v>
                </c:pt>
                <c:pt idx="30">
                  <c:v>Kartoffel-Moussaka</c:v>
                </c:pt>
                <c:pt idx="31">
                  <c:v>Lollo mit Hähnchen</c:v>
                </c:pt>
                <c:pt idx="32">
                  <c:v>Ragout fin mit gemischten Pilzen</c:v>
                </c:pt>
                <c:pt idx="33">
                  <c:v>Falafel-Wrap mit Dattel-Schmand-Dip</c:v>
                </c:pt>
                <c:pt idx="34">
                  <c:v>Bucatini Auflauf</c:v>
                </c:pt>
                <c:pt idx="35">
                  <c:v>Bouillabaisse</c:v>
                </c:pt>
                <c:pt idx="36">
                  <c:v>Spargeleintopf mit Fleischklößchen</c:v>
                </c:pt>
                <c:pt idx="37">
                  <c:v>Gefüllte Buchteln mit Frühlingssalat</c:v>
                </c:pt>
                <c:pt idx="38">
                  <c:v>Überbackene Mettklößchen</c:v>
                </c:pt>
                <c:pt idx="39">
                  <c:v>Tortelloni mit Kaninchenleberfüllung und Salbei-Spargel-Butter</c:v>
                </c:pt>
                <c:pt idx="40">
                  <c:v>Minestrone</c:v>
                </c:pt>
                <c:pt idx="41">
                  <c:v>Saftige NT-Kalbsnuss an glacierten Möhren und Kartoffelsoufflé</c:v>
                </c:pt>
                <c:pt idx="42">
                  <c:v>Gebratene Nudeln mit Gemüse, asiatisch</c:v>
                </c:pt>
                <c:pt idx="43">
                  <c:v>Sommerlicher Fisch - Traum</c:v>
                </c:pt>
                <c:pt idx="44">
                  <c:v>Gefüllter Hokkaido - Kürbis</c:v>
                </c:pt>
                <c:pt idx="45">
                  <c:v>Agis Gyros in Metaxasauce</c:v>
                </c:pt>
                <c:pt idx="46">
                  <c:v>Süßkartoffelquiche</c:v>
                </c:pt>
                <c:pt idx="47">
                  <c:v>Scharfe Bananen - Fleischbällchen mit süß - saurer Sauce</c:v>
                </c:pt>
                <c:pt idx="48">
                  <c:v>Chrissis Lahmacun</c:v>
                </c:pt>
                <c:pt idx="49">
                  <c:v>Italienischer Eintopf</c:v>
                </c:pt>
                <c:pt idx="50">
                  <c:v>Fischragout mit Gemüse</c:v>
                </c:pt>
                <c:pt idx="51">
                  <c:v>Vegetarischer Nudelauflauf mit Kürbis</c:v>
                </c:pt>
                <c:pt idx="52">
                  <c:v>Polenta - Auflauf 'South Haven'</c:v>
                </c:pt>
                <c:pt idx="53">
                  <c:v>Karibische Gemüse - Hähnchenspieße mit scharfem Mangochutney</c:v>
                </c:pt>
                <c:pt idx="54">
                  <c:v>Mariniertes Steak mit Grillkartoffel und Gemüsespieß</c:v>
                </c:pt>
                <c:pt idx="55">
                  <c:v>Feuermohns gefüllte Lachs Spinat Cannelloni</c:v>
                </c:pt>
                <c:pt idx="56">
                  <c:v>Mediterraner Schmortopf</c:v>
                </c:pt>
                <c:pt idx="57">
                  <c:v>Bohnen - Speck - Rollen in Gemüsesoße</c:v>
                </c:pt>
                <c:pt idx="58">
                  <c:v>Fischtopf überbacken</c:v>
                </c:pt>
                <c:pt idx="59">
                  <c:v>Klare Suppe mit Fisch und gemischtem Gemüse</c:v>
                </c:pt>
                <c:pt idx="60">
                  <c:v>Falsche Schildkröte mit Fischklösschen</c:v>
                </c:pt>
                <c:pt idx="61">
                  <c:v>Gebackener Ziegenkäse im Speckmantel auf fruchtigem Salat mit Honig-Senf-Vinaigrette</c:v>
                </c:pt>
                <c:pt idx="62">
                  <c:v>Sommerliche Schupfnudelpfanne</c:v>
                </c:pt>
                <c:pt idx="63">
                  <c:v>Asiatisch - fränkischer Tafelspitz, Brezenkloß und Meerrettichcreme</c:v>
                </c:pt>
                <c:pt idx="64">
                  <c:v>Chicken Wrap mit Gemüse, Guacamole und Crème fraîche</c:v>
                </c:pt>
                <c:pt idx="65">
                  <c:v>Kürbis - Kokos - Suppe mit Chili</c:v>
                </c:pt>
                <c:pt idx="66">
                  <c:v>Spinat-Gemüse-Lasagne mit Tomatensoße</c:v>
                </c:pt>
                <c:pt idx="67">
                  <c:v>Kürbis-Lauch-Quiche</c:v>
                </c:pt>
                <c:pt idx="68">
                  <c:v>Bunter Nudelauflauf</c:v>
                </c:pt>
                <c:pt idx="69">
                  <c:v>Auberginenröllchen mit würziger Reisfüllung</c:v>
                </c:pt>
                <c:pt idx="70">
                  <c:v>Ragout von Hähnchenbrust, grünem Spargel und Erdbeeren mit Kürbiskernrisotto</c:v>
                </c:pt>
                <c:pt idx="71">
                  <c:v>Pizza Diavolo</c:v>
                </c:pt>
                <c:pt idx="72">
                  <c:v>Linsensalat mit Mango und Ziegenkäse</c:v>
                </c:pt>
                <c:pt idx="73">
                  <c:v>Tarte à la Ratatouille</c:v>
                </c:pt>
                <c:pt idx="74">
                  <c:v>Kräuterforelle auf mediterranem Sommergemüse</c:v>
                </c:pt>
                <c:pt idx="75">
                  <c:v>Kabeljau im Panko-Parmesan-Mantel mit Tomatennudeln</c:v>
                </c:pt>
                <c:pt idx="76">
                  <c:v>Überbackene Enchiladas mit Tzatziki</c:v>
                </c:pt>
                <c:pt idx="77">
                  <c:v>Griechische Gemüsesuppe</c:v>
                </c:pt>
                <c:pt idx="78">
                  <c:v>Paella</c:v>
                </c:pt>
                <c:pt idx="79">
                  <c:v>Mangoldstrudel</c:v>
                </c:pt>
                <c:pt idx="80">
                  <c:v>Gefüllte Pide</c:v>
                </c:pt>
                <c:pt idx="81">
                  <c:v>Hackbraten</c:v>
                </c:pt>
                <c:pt idx="82">
                  <c:v>Gurken - Schmortopf</c:v>
                </c:pt>
                <c:pt idx="83">
                  <c:v>Edelfische auf Blattspinat in Rote Bete-Sauce</c:v>
                </c:pt>
                <c:pt idx="84">
                  <c:v>Lammrücken unter der Kräuterkruste auf Artischockengemüse mit Polenta</c:v>
                </c:pt>
                <c:pt idx="85">
                  <c:v>Gemüse - Lasagne</c:v>
                </c:pt>
                <c:pt idx="86">
                  <c:v>Lachs gedämpft</c:v>
                </c:pt>
                <c:pt idx="87">
                  <c:v>Lasagne Bolognese</c:v>
                </c:pt>
                <c:pt idx="88">
                  <c:v>Schweinefilet in Schinkenmantel mit Spinat - Pilz - Mozarellafüllung in Blätterteig</c:v>
                </c:pt>
                <c:pt idx="89">
                  <c:v>Kartoffel-Kürbis Gratin alla Napolitana</c:v>
                </c:pt>
                <c:pt idx="90">
                  <c:v>Gemüse-Soufflé</c:v>
                </c:pt>
                <c:pt idx="91">
                  <c:v>Lachs im Gemüsebett</c:v>
                </c:pt>
                <c:pt idx="92">
                  <c:v>Lahmacun</c:v>
                </c:pt>
                <c:pt idx="93">
                  <c:v>Pizza-Dip</c:v>
                </c:pt>
                <c:pt idx="94">
                  <c:v>Palatschinken mit feiner Walnussfüllung</c:v>
                </c:pt>
                <c:pt idx="95">
                  <c:v>Brokkoli - Walnuss Quiche</c:v>
                </c:pt>
                <c:pt idx="96">
                  <c:v>Cannelloni mit Spinat-Tomatensoße und Lachs</c:v>
                </c:pt>
                <c:pt idx="97">
                  <c:v>Kürbisgemüse aus dem Ofen mit Kräuterquark</c:v>
                </c:pt>
                <c:pt idx="98">
                  <c:v>Blitz-Hühnerfrikassee</c:v>
                </c:pt>
                <c:pt idx="99">
                  <c:v>Rindersteak mit Käse - Sauce</c:v>
                </c:pt>
                <c:pt idx="100">
                  <c:v>Lustige Leber</c:v>
                </c:pt>
                <c:pt idx="101">
                  <c:v>Lauchcreme-Gourmetsuppe</c:v>
                </c:pt>
                <c:pt idx="102">
                  <c:v>Cannelloni mit cremiger Gemüse-Käse-Füllung</c:v>
                </c:pt>
                <c:pt idx="103">
                  <c:v>Spargel im knusprigen Hafer - Mantel</c:v>
                </c:pt>
                <c:pt idx="104">
                  <c:v>Gratinierte Forelle mit Mozzarella</c:v>
                </c:pt>
                <c:pt idx="105">
                  <c:v>Hackauflauf mit Lauchkruste</c:v>
                </c:pt>
                <c:pt idx="106">
                  <c:v>Moussaka</c:v>
                </c:pt>
                <c:pt idx="107">
                  <c:v>Spinat-Käse-Auflauf</c:v>
                </c:pt>
                <c:pt idx="108">
                  <c:v>Möhreneintopf</c:v>
                </c:pt>
                <c:pt idx="109">
                  <c:v>Chinesische Reis - Gemüse - Pfanne</c:v>
                </c:pt>
                <c:pt idx="110">
                  <c:v>Nudeln mit Butternut- oder Hokkaidokürbis</c:v>
                </c:pt>
                <c:pt idx="111">
                  <c:v>Holzhackersteak</c:v>
                </c:pt>
                <c:pt idx="112">
                  <c:v>Zucchini-Lasagne</c:v>
                </c:pt>
                <c:pt idx="113">
                  <c:v>Knusperschnitzel mit Salat</c:v>
                </c:pt>
                <c:pt idx="114">
                  <c:v>Lamm mit Mandeln, Pistazien und Berberitzen</c:v>
                </c:pt>
                <c:pt idx="115">
                  <c:v>Überbackene Koteletts</c:v>
                </c:pt>
                <c:pt idx="116">
                  <c:v>Leipziger Klopse</c:v>
                </c:pt>
                <c:pt idx="117">
                  <c:v>Pfannkuchen mit Spinat</c:v>
                </c:pt>
                <c:pt idx="118">
                  <c:v>Hähnchenschenkel mit Kartoffel - Gemüsepfanne</c:v>
                </c:pt>
                <c:pt idx="119">
                  <c:v>Schweinehals mit pikantem Lauchgemüse und Quittengeleesauce</c:v>
                </c:pt>
                <c:pt idx="120">
                  <c:v>Das große Burggeheimnis</c:v>
                </c:pt>
                <c:pt idx="121">
                  <c:v>Pappardelle di Don Vito</c:v>
                </c:pt>
                <c:pt idx="122">
                  <c:v>Heißer Cowboy Topf</c:v>
                </c:pt>
                <c:pt idx="123">
                  <c:v>Poaca - gefüllte Teigtaschen</c:v>
                </c:pt>
                <c:pt idx="124">
                  <c:v>Chili sin Carne</c:v>
                </c:pt>
                <c:pt idx="125">
                  <c:v>Mariniertes Geflügel mit Ananassalsa und Nudelsalat</c:v>
                </c:pt>
                <c:pt idx="126">
                  <c:v>Spargel mit Sauce Hollandaise, gebratenem Schweinefilet und Kartoffelgratin</c:v>
                </c:pt>
                <c:pt idx="127">
                  <c:v>Low Carb Pizzaboden aus Zucchini</c:v>
                </c:pt>
                <c:pt idx="128">
                  <c:v>Moussaka kretische Art</c:v>
                </c:pt>
                <c:pt idx="129">
                  <c:v>Brokkoli - Fenchel - Auflauf mit Kartoffeln</c:v>
                </c:pt>
                <c:pt idx="130">
                  <c:v>Deftige Chili - Gemüsesuppe</c:v>
                </c:pt>
                <c:pt idx="131">
                  <c:v>Scharfer Auberginensalat</c:v>
                </c:pt>
                <c:pt idx="132">
                  <c:v>Mediterrane Gemüsepfanne mit Hähnchenbrustfilet</c:v>
                </c:pt>
                <c:pt idx="133">
                  <c:v>Muschelnudeln mit Lachs, Spinat und Fenchel</c:v>
                </c:pt>
                <c:pt idx="134">
                  <c:v>Annas gefüllte Zucchini im Tomatenbett</c:v>
                </c:pt>
                <c:pt idx="135">
                  <c:v>Farsumagru</c:v>
                </c:pt>
                <c:pt idx="136">
                  <c:v>Schaschlik nach Andrés Art</c:v>
                </c:pt>
                <c:pt idx="137">
                  <c:v>Couscous-Salat, lecker würzig</c:v>
                </c:pt>
                <c:pt idx="138">
                  <c:v>Femüse-Geflügel-Suppe</c:v>
                </c:pt>
                <c:pt idx="139">
                  <c:v>Spinatknödel mit Gorgonzolasauce</c:v>
                </c:pt>
                <c:pt idx="140">
                  <c:v>Lasagne</c:v>
                </c:pt>
                <c:pt idx="141">
                  <c:v>Rindergulasch</c:v>
                </c:pt>
                <c:pt idx="142">
                  <c:v>Reisauflauf mit Zwetschgensoße</c:v>
                </c:pt>
                <c:pt idx="143">
                  <c:v>Gefüllte Schmorgurke in Tomatensauce</c:v>
                </c:pt>
                <c:pt idx="144">
                  <c:v>Kürbisgratin</c:v>
                </c:pt>
                <c:pt idx="145">
                  <c:v>Putenfleischknödel mit Linsenstrudel</c:v>
                </c:pt>
                <c:pt idx="146">
                  <c:v>Ungarische Gulaschsuppe</c:v>
                </c:pt>
                <c:pt idx="147">
                  <c:v>Überbackene Cannelloni mit Brokkolifüllung</c:v>
                </c:pt>
                <c:pt idx="148">
                  <c:v>Rauke - Linsen - Salat mit Lammfilet</c:v>
                </c:pt>
                <c:pt idx="149">
                  <c:v>Kohlrabilasagne</c:v>
                </c:pt>
                <c:pt idx="150">
                  <c:v>Feta-Blattspinat-Rolle mit Sesam und süß-saurem Dip</c:v>
                </c:pt>
                <c:pt idx="151">
                  <c:v>Paprikaschnitzel mit kräftiger Paprikasauce</c:v>
                </c:pt>
                <c:pt idx="152">
                  <c:v>Spargel aus dem Ofen mit Hefe-Pfannküchlein und Paprika-Vinaigrette</c:v>
                </c:pt>
                <c:pt idx="153">
                  <c:v>Griechisches Kalbsfleisch in Tomatensoße mit Nudeln</c:v>
                </c:pt>
                <c:pt idx="154">
                  <c:v>botos Bifteki mit griechischem Tomatenreis</c:v>
                </c:pt>
                <c:pt idx="155">
                  <c:v>Salat mit Honigchampignons</c:v>
                </c:pt>
                <c:pt idx="156">
                  <c:v>Yufka mit Gemüse- und Rindfleischfüllung</c:v>
                </c:pt>
                <c:pt idx="157">
                  <c:v>Rinderfilet gratiniert mit Rotkohl und Kartoffelklößen</c:v>
                </c:pt>
                <c:pt idx="158">
                  <c:v>Bouillabaisse mit Sauce Rouille und Baguette</c:v>
                </c:pt>
                <c:pt idx="159">
                  <c:v>Rigatoni mit Hähnchen in Senf - Sahne - Sauce</c:v>
                </c:pt>
                <c:pt idx="160">
                  <c:v>Linsen-Gemüse-Kartoffel-Topf mit Putenfleisch</c:v>
                </c:pt>
                <c:pt idx="161">
                  <c:v>Hähncheneintopf à la Eddie</c:v>
                </c:pt>
                <c:pt idx="162">
                  <c:v>Nudelauflauf Winterzauber</c:v>
                </c:pt>
                <c:pt idx="163">
                  <c:v>Überbackene Koteletts</c:v>
                </c:pt>
                <c:pt idx="164">
                  <c:v>Kabeljau im Gemüsesud und Schnittlauchbutter</c:v>
                </c:pt>
                <c:pt idx="165">
                  <c:v>Gratinierter Gemüseauflauf</c:v>
                </c:pt>
                <c:pt idx="166">
                  <c:v>Gemüse aus dem Backofen</c:v>
                </c:pt>
                <c:pt idx="167">
                  <c:v>Hähnchen - Schauwarma</c:v>
                </c:pt>
                <c:pt idx="168">
                  <c:v>Hähnchencurry mit Süßkartoffeln</c:v>
                </c:pt>
                <c:pt idx="169">
                  <c:v>Kräuter - Käse - Klops</c:v>
                </c:pt>
                <c:pt idx="170">
                  <c:v>Kabeljaufilet unter Kartoffelschuppen</c:v>
                </c:pt>
                <c:pt idx="171">
                  <c:v>Gemüsespiralen-Tarte</c:v>
                </c:pt>
                <c:pt idx="172">
                  <c:v>Gefüllter Hokkaidokürbis</c:v>
                </c:pt>
                <c:pt idx="173">
                  <c:v>Tanja's Djuvec - Hähnchenpfanne</c:v>
                </c:pt>
                <c:pt idx="174">
                  <c:v>Rindersteaks auf italienisch</c:v>
                </c:pt>
                <c:pt idx="175">
                  <c:v>Surhaxe mit Sauerkraut oder Erbsmus</c:v>
                </c:pt>
                <c:pt idx="176">
                  <c:v>Hähnchen - Mango - Curry</c:v>
                </c:pt>
                <c:pt idx="177">
                  <c:v>Vegane Curry-Linsen-Bowl mit Röst-Karotten und Petersilien-Dip</c:v>
                </c:pt>
                <c:pt idx="178">
                  <c:v>Makhani Hähnchen</c:v>
                </c:pt>
                <c:pt idx="179">
                  <c:v>Hackfleisch-Picadillo</c:v>
                </c:pt>
                <c:pt idx="180">
                  <c:v>Linseneintopf kanarische Art</c:v>
                </c:pt>
                <c:pt idx="181">
                  <c:v>Putenschnitzel Italia mit klassischem Tomaten - Mozzarella - Salat</c:v>
                </c:pt>
                <c:pt idx="182">
                  <c:v>Asia-Pfanne süß-sauer</c:v>
                </c:pt>
                <c:pt idx="183">
                  <c:v>Tafelspitz mit Polenta-Nocken</c:v>
                </c:pt>
                <c:pt idx="184">
                  <c:v>Gemüse-Pizza</c:v>
                </c:pt>
                <c:pt idx="185">
                  <c:v>Spaghetti Bolognese nach Toskana Art</c:v>
                </c:pt>
                <c:pt idx="186">
                  <c:v>Backofengeheimnis</c:v>
                </c:pt>
                <c:pt idx="187">
                  <c:v>Rosenkohl-Curry</c:v>
                </c:pt>
                <c:pt idx="188">
                  <c:v>Linsen-Hackfleisch-Kuchen</c:v>
                </c:pt>
                <c:pt idx="189">
                  <c:v>Grisous leichte Tarte à la moutarde</c:v>
                </c:pt>
                <c:pt idx="190">
                  <c:v>Griechische Gemüsesuppe</c:v>
                </c:pt>
                <c:pt idx="191">
                  <c:v>Orientalischer Hackbraten</c:v>
                </c:pt>
                <c:pt idx="192">
                  <c:v>Ungarischer Nudelsalat</c:v>
                </c:pt>
                <c:pt idx="193">
                  <c:v>Spargelplatte mit Putenschnitzel im Speckmantel</c:v>
                </c:pt>
                <c:pt idx="194">
                  <c:v>Mexikanisches Hähnchen</c:v>
                </c:pt>
                <c:pt idx="195">
                  <c:v>Gebackener Feta auf gemischtem Salat mit Honigdressing</c:v>
                </c:pt>
                <c:pt idx="196">
                  <c:v>Zwiebelkuchen, schwäbischer</c:v>
                </c:pt>
                <c:pt idx="197">
                  <c:v>Zitronen-Schnitzel mit Parmesanpanade</c:v>
                </c:pt>
                <c:pt idx="198">
                  <c:v>Ossobuco à la Annette im Römertopf</c:v>
                </c:pt>
                <c:pt idx="199">
                  <c:v>Hähnchen-Reis-Pfanne</c:v>
                </c:pt>
                <c:pt idx="200">
                  <c:v>Matjessalat mit Rindfleisch</c:v>
                </c:pt>
                <c:pt idx="201">
                  <c:v>Chili con Carne à la Benjo</c:v>
                </c:pt>
                <c:pt idx="202">
                  <c:v>Hähnchen Frikassee</c:v>
                </c:pt>
                <c:pt idx="203">
                  <c:v>Cremiger Nudelauflauf mit Tomaten und Mozzarella</c:v>
                </c:pt>
                <c:pt idx="204">
                  <c:v>Gurkensuppe</c:v>
                </c:pt>
                <c:pt idx="205">
                  <c:v>Kartoffelkuchen mit Lamm und Gemüse</c:v>
                </c:pt>
                <c:pt idx="206">
                  <c:v>Gefüllte Paprika</c:v>
                </c:pt>
                <c:pt idx="207">
                  <c:v>Friedhelms Jägerpfannkuchen</c:v>
                </c:pt>
                <c:pt idx="208">
                  <c:v>Bier-Senf-Geschnetzeltes</c:v>
                </c:pt>
                <c:pt idx="209">
                  <c:v>Kartoffelgulasch</c:v>
                </c:pt>
                <c:pt idx="210">
                  <c:v>Provenzalische Schnitzel</c:v>
                </c:pt>
                <c:pt idx="211">
                  <c:v>Lachsforelle auf Gemüsebett 'sous vide' mit Süßkartoffelpüree</c:v>
                </c:pt>
                <c:pt idx="212">
                  <c:v>Lammkeule in Olivenjus mit Herzoginkartoffeln und karamellisiertem Chicoree</c:v>
                </c:pt>
                <c:pt idx="213">
                  <c:v>Römischer Mangoldfisch mit Rosmarinkartoffeln</c:v>
                </c:pt>
                <c:pt idx="214">
                  <c:v>Tomaten - Mozzarella - Steaks</c:v>
                </c:pt>
                <c:pt idx="215">
                  <c:v>Couscous mit Hähnchen, Gemüse und Champignons</c:v>
                </c:pt>
                <c:pt idx="216">
                  <c:v>Zottels Chili con Carne-Auflauf</c:v>
                </c:pt>
                <c:pt idx="217">
                  <c:v>Spargelgemüse mit Mettbällchen</c:v>
                </c:pt>
                <c:pt idx="218">
                  <c:v>Ravioli mit Puten-Tomaten Füllung</c:v>
                </c:pt>
                <c:pt idx="219">
                  <c:v>Burritos</c:v>
                </c:pt>
                <c:pt idx="220">
                  <c:v>Kichererbsensuppe mit Süßkartoffeln und Paprikawurst</c:v>
                </c:pt>
                <c:pt idx="221">
                  <c:v>Rotbarschfilet mit Erdnusspanade und Pilzgemüse</c:v>
                </c:pt>
                <c:pt idx="222">
                  <c:v>Vegetarische Lasagne mit Auberginen</c:v>
                </c:pt>
                <c:pt idx="223">
                  <c:v>Mexikanischer Tomatenauflauf</c:v>
                </c:pt>
                <c:pt idx="224">
                  <c:v>Huhn nach Kap Malayischer Art</c:v>
                </c:pt>
                <c:pt idx="225">
                  <c:v>Reistopf mit Hähnchen und Erbsen</c:v>
                </c:pt>
                <c:pt idx="226">
                  <c:v>Makkaroni - Kuchen</c:v>
                </c:pt>
                <c:pt idx="227">
                  <c:v>Spargel überbacken, mit Tomate und Spinat</c:v>
                </c:pt>
                <c:pt idx="228">
                  <c:v>Schneller Stroganoff mit süß - sauren Backkartoffeln</c:v>
                </c:pt>
                <c:pt idx="229">
                  <c:v>Pflaumen-Tofu-Ravioli in Kürbis-Rote Bete-Sauce, vegan</c:v>
                </c:pt>
                <c:pt idx="230">
                  <c:v>Einfache Paella mit Chorizo und Hähnchenkeulen</c:v>
                </c:pt>
                <c:pt idx="231">
                  <c:v>English Chicken Pie</c:v>
                </c:pt>
                <c:pt idx="232">
                  <c:v>Hackfleisch - Gemüse - Auflauf mit Reis</c:v>
                </c:pt>
                <c:pt idx="233">
                  <c:v>Bäuerinnensuppe</c:v>
                </c:pt>
                <c:pt idx="234">
                  <c:v>Fischlasagne</c:v>
                </c:pt>
                <c:pt idx="235">
                  <c:v>Manti mit Joghurtsauce und Paprikabutter</c:v>
                </c:pt>
                <c:pt idx="236">
                  <c:v>Brillas Kürbiseintopf</c:v>
                </c:pt>
                <c:pt idx="237">
                  <c:v>Backofen - Fisch</c:v>
                </c:pt>
                <c:pt idx="238">
                  <c:v>Brokkolireis mit Käsehaube</c:v>
                </c:pt>
                <c:pt idx="239">
                  <c:v>Involtini von der Pute auf Blattspinat mit Polentaschnitte und Tomatensauce</c:v>
                </c:pt>
                <c:pt idx="240">
                  <c:v>Vegetarische Cevapcici für den Grill</c:v>
                </c:pt>
                <c:pt idx="241">
                  <c:v>Zucchini – Piccata auf Tomatenkompott mit Rucolapesto und Nudeln</c:v>
                </c:pt>
                <c:pt idx="242">
                  <c:v>Italienischer Herbsteintopf</c:v>
                </c:pt>
                <c:pt idx="243">
                  <c:v>Hähnchen-Gemüse-Pfanne</c:v>
                </c:pt>
                <c:pt idx="244">
                  <c:v>Hähnchen - Piccata mit Tomatensoße</c:v>
                </c:pt>
                <c:pt idx="245">
                  <c:v>Orientalischer Zimt-Hackfleischtopf</c:v>
                </c:pt>
                <c:pt idx="246">
                  <c:v>Bunter Kürbis - Kartoffel - Auflauf</c:v>
                </c:pt>
                <c:pt idx="247">
                  <c:v>Marinierter Lachs an Ratatouillesalat mit Rucolapesto und Brot</c:v>
                </c:pt>
                <c:pt idx="248">
                  <c:v>Cremesuppe aus gelben Paprikaschoten</c:v>
                </c:pt>
                <c:pt idx="249">
                  <c:v>Galloway im Kürbisfeld</c:v>
                </c:pt>
                <c:pt idx="250">
                  <c:v>Gemüsekuchen</c:v>
                </c:pt>
                <c:pt idx="251">
                  <c:v>Spargel auf Kartoffelpuffer</c:v>
                </c:pt>
                <c:pt idx="252">
                  <c:v>Paniertes Kalbssteak auf spanische Art</c:v>
                </c:pt>
                <c:pt idx="253">
                  <c:v>Mini-Party-Quiches</c:v>
                </c:pt>
                <c:pt idx="254">
                  <c:v>Vegetarisches Gemüsecurry</c:v>
                </c:pt>
                <c:pt idx="255">
                  <c:v>Feurig scharfe Zucchinisuppe mit Hackbällchen</c:v>
                </c:pt>
                <c:pt idx="256">
                  <c:v>Wiener Schnitzel mit Spargel</c:v>
                </c:pt>
                <c:pt idx="257">
                  <c:v>Bulgur Buddha Bowl</c:v>
                </c:pt>
                <c:pt idx="258">
                  <c:v>Gemüseauflauf aus dem Terracotta Topf</c:v>
                </c:pt>
                <c:pt idx="259">
                  <c:v>Chilibällchen mit Fetakäse und Paprikagemüse</c:v>
                </c:pt>
                <c:pt idx="260">
                  <c:v>Karibischer Schweinebraten</c:v>
                </c:pt>
                <c:pt idx="261">
                  <c:v>Böhmischer Kartoffelsalat</c:v>
                </c:pt>
                <c:pt idx="262">
                  <c:v>Kichererbsen-Oliven-Salat</c:v>
                </c:pt>
                <c:pt idx="263">
                  <c:v>Ungarische gefüllte Kohlrouladen</c:v>
                </c:pt>
                <c:pt idx="264">
                  <c:v>Kürbistortellini weihnachtlich gewürzt</c:v>
                </c:pt>
                <c:pt idx="265">
                  <c:v>Mexikanische Gemüsesuppe</c:v>
                </c:pt>
                <c:pt idx="266">
                  <c:v>Sächsischer Herings-Kartoffelsalat</c:v>
                </c:pt>
                <c:pt idx="267">
                  <c:v>Mediterrane Kartoffelpfanne</c:v>
                </c:pt>
                <c:pt idx="268">
                  <c:v>Österreichischer Kaiserschmarrn</c:v>
                </c:pt>
                <c:pt idx="269">
                  <c:v>Nudeln mit Belugalinsen</c:v>
                </c:pt>
                <c:pt idx="270">
                  <c:v>Mecklenburger Bunte Katze mit Karottensalat</c:v>
                </c:pt>
                <c:pt idx="271">
                  <c:v>Steckerlfisch mit Kartoffel - Zuccini - Paprika - Gemüse</c:v>
                </c:pt>
                <c:pt idx="272">
                  <c:v>Fischsuppe</c:v>
                </c:pt>
                <c:pt idx="273">
                  <c:v>Chili - Gulasch</c:v>
                </c:pt>
                <c:pt idx="274">
                  <c:v>Blumenkohlauflauf mit Hackbällchen</c:v>
                </c:pt>
                <c:pt idx="275">
                  <c:v>Nomadenmahl</c:v>
                </c:pt>
                <c:pt idx="276">
                  <c:v>Arabische Kichererbsen-Spinat Suppe</c:v>
                </c:pt>
                <c:pt idx="277">
                  <c:v>Pastinakenbratlinge mit Wirsingpüree</c:v>
                </c:pt>
                <c:pt idx="278">
                  <c:v>Chinesische Nudelpfanne</c:v>
                </c:pt>
                <c:pt idx="279">
                  <c:v>Hasenrücken mit Apfelsoße</c:v>
                </c:pt>
                <c:pt idx="280">
                  <c:v>Zucchini - Tomatensauce</c:v>
                </c:pt>
                <c:pt idx="281">
                  <c:v>Champignon - Nudel - Muffins</c:v>
                </c:pt>
                <c:pt idx="282">
                  <c:v>Nudel - Tortilla</c:v>
                </c:pt>
                <c:pt idx="283">
                  <c:v>Blätterteig - Pie mit Hackfleisch - Spinat Füllung</c:v>
                </c:pt>
                <c:pt idx="284">
                  <c:v>Wachtel mit Spargel</c:v>
                </c:pt>
                <c:pt idx="285">
                  <c:v>Leichter Kochfisch mit Senfgemüse</c:v>
                </c:pt>
                <c:pt idx="286">
                  <c:v>Kalbsgeschnetzeltes Bombay</c:v>
                </c:pt>
                <c:pt idx="287">
                  <c:v>Tortellinisalat italienische Art</c:v>
                </c:pt>
                <c:pt idx="288">
                  <c:v>Blumenkohl - Gratin mit Sesam</c:v>
                </c:pt>
                <c:pt idx="289">
                  <c:v>Gemüseschnecken mit Lauchsoße</c:v>
                </c:pt>
                <c:pt idx="290">
                  <c:v>Ossobuco mit Röstgemüse</c:v>
                </c:pt>
                <c:pt idx="291">
                  <c:v>Chefkoch Kirsch-BBQ-Burger</c:v>
                </c:pt>
                <c:pt idx="292">
                  <c:v>Auberginen - Kartoffel - Auflauf mit Hackfleisch</c:v>
                </c:pt>
                <c:pt idx="293">
                  <c:v>Tansanische Fischpfanne mit Spinat</c:v>
                </c:pt>
                <c:pt idx="294">
                  <c:v>Tatarfrikadellen mit buntem Gemüse und Röstkartoffeln</c:v>
                </c:pt>
                <c:pt idx="295">
                  <c:v>Räuberfleisch</c:v>
                </c:pt>
                <c:pt idx="296">
                  <c:v>Mexikanische Enchilada-Lasagne</c:v>
                </c:pt>
                <c:pt idx="297">
                  <c:v>Schaschlik vegetarisch</c:v>
                </c:pt>
                <c:pt idx="298">
                  <c:v>Süßkartoffel-Curry</c:v>
                </c:pt>
                <c:pt idx="299">
                  <c:v>Kartoffel-Gemüsetortilla mit Kräuterquark</c:v>
                </c:pt>
                <c:pt idx="300">
                  <c:v>Jungfern - Braten</c:v>
                </c:pt>
                <c:pt idx="301">
                  <c:v>Putenspieße auf Tomatenreis</c:v>
                </c:pt>
                <c:pt idx="302">
                  <c:v>Sommernachts - Lachsfilet</c:v>
                </c:pt>
                <c:pt idx="303">
                  <c:v>Forelle im Salzteig</c:v>
                </c:pt>
                <c:pt idx="304">
                  <c:v>Bunter Erdäpfelsalat mit Frankfurter</c:v>
                </c:pt>
                <c:pt idx="305">
                  <c:v>Manti - Türkische Tortellini</c:v>
                </c:pt>
                <c:pt idx="306">
                  <c:v>Kartoffel - Zucchini - Porree - Auflauf mit Hack</c:v>
                </c:pt>
                <c:pt idx="307">
                  <c:v>Avocado-Mango-Salat mit Hähnchen</c:v>
                </c:pt>
                <c:pt idx="308">
                  <c:v>Süßer Topfen - Reis - Auflauf</c:v>
                </c:pt>
                <c:pt idx="309">
                  <c:v>Kürbis, Kartoffeln und Hähnchenschenkel aus dem Backofen</c:v>
                </c:pt>
                <c:pt idx="310">
                  <c:v>Gnocchi mit Avocado-Basilikum-Pesto</c:v>
                </c:pt>
                <c:pt idx="311">
                  <c:v>Nasi Goreng</c:v>
                </c:pt>
                <c:pt idx="312">
                  <c:v>Wildschweinrücken in Adventsgewürzen mit Kartoffelknödel in Rotkohl-Preiselbeermantel</c:v>
                </c:pt>
                <c:pt idx="313">
                  <c:v>Seezungen mit Erdbeerchutney</c:v>
                </c:pt>
                <c:pt idx="314">
                  <c:v>Schinkennudeln mit Gemüse</c:v>
                </c:pt>
                <c:pt idx="315">
                  <c:v>Gulaschsuppe à la Tick</c:v>
                </c:pt>
                <c:pt idx="316">
                  <c:v>Vegetarisches Frühlingspfännchen mit Feta-Käse</c:v>
                </c:pt>
                <c:pt idx="317">
                  <c:v>Spaghetti mit Gemüse-Bolognese</c:v>
                </c:pt>
                <c:pt idx="318">
                  <c:v>Kürbisauflauf mit Hackfleisch</c:v>
                </c:pt>
                <c:pt idx="319">
                  <c:v>Karpfen in Mandelkruste</c:v>
                </c:pt>
                <c:pt idx="320">
                  <c:v>Nudeln mit Lachs, Spinat und Ziegenkäse</c:v>
                </c:pt>
                <c:pt idx="321">
                  <c:v>Fencheleintopf mit Parmesankartoffeln</c:v>
                </c:pt>
                <c:pt idx="322">
                  <c:v>Echte Gulaschsuppe</c:v>
                </c:pt>
                <c:pt idx="323">
                  <c:v>Nudelsalat mediterran</c:v>
                </c:pt>
                <c:pt idx="324">
                  <c:v>Portugiesische Fischpfanne</c:v>
                </c:pt>
                <c:pt idx="325">
                  <c:v>Bunter Nudeltopf</c:v>
                </c:pt>
                <c:pt idx="326">
                  <c:v>Spinat-Quark Lasagne</c:v>
                </c:pt>
                <c:pt idx="327">
                  <c:v>Forellen auf Fenchel-Tomaten Gemüse</c:v>
                </c:pt>
                <c:pt idx="328">
                  <c:v>Gefüllte Paprika mit Hackfleisch und Reis</c:v>
                </c:pt>
                <c:pt idx="329">
                  <c:v>Reef and Beef</c:v>
                </c:pt>
                <c:pt idx="330">
                  <c:v>Soljanka nach Mama Art</c:v>
                </c:pt>
                <c:pt idx="331">
                  <c:v>Lammlachse mit Kräuterkruste auf einer Bohnentrilogie und Kartoffel-Kresse-Püree</c:v>
                </c:pt>
                <c:pt idx="332">
                  <c:v>Hühnchen mit Bacon-Alfredo-Füllung</c:v>
                </c:pt>
                <c:pt idx="333">
                  <c:v>Schafhirten - Pie</c:v>
                </c:pt>
                <c:pt idx="334">
                  <c:v>Puszta-Suppe mit Mettbällchen und Sauerkraut</c:v>
                </c:pt>
                <c:pt idx="335">
                  <c:v>Auflauf mit Buttergemüse, Rosenkohl und Mettenden</c:v>
                </c:pt>
                <c:pt idx="336">
                  <c:v>Pikanter Kartoffelsalat mit Nusskernen</c:v>
                </c:pt>
                <c:pt idx="337">
                  <c:v>Finnische Hackfleischbällchen</c:v>
                </c:pt>
                <c:pt idx="338">
                  <c:v>Hähnchen-Ananas-Curry mit Reis</c:v>
                </c:pt>
                <c:pt idx="339">
                  <c:v>Hackfleischtopf mit Sommergemüse</c:v>
                </c:pt>
                <c:pt idx="340">
                  <c:v>Khoreshe Albaloo</c:v>
                </c:pt>
                <c:pt idx="341">
                  <c:v>Steckrübeneintopf mit Gremolata</c:v>
                </c:pt>
                <c:pt idx="342">
                  <c:v>Thai Curry</c:v>
                </c:pt>
                <c:pt idx="343">
                  <c:v>Rheinischer Heringssalat</c:v>
                </c:pt>
                <c:pt idx="344">
                  <c:v>Hähnchen in Honig-Sesam Sauce und Gemüse</c:v>
                </c:pt>
                <c:pt idx="345">
                  <c:v>Grüne Bohnensuppe auf ungarische Art</c:v>
                </c:pt>
                <c:pt idx="346">
                  <c:v>Koteletts im mediterranem Gemüsebett</c:v>
                </c:pt>
                <c:pt idx="347">
                  <c:v>Gulasch vom Reh</c:v>
                </c:pt>
                <c:pt idx="348">
                  <c:v>Schweinemedaillons in Pfefferrahmsauce</c:v>
                </c:pt>
                <c:pt idx="349">
                  <c:v>Pikante Gyrossuppe</c:v>
                </c:pt>
                <c:pt idx="350">
                  <c:v>Frittata</c:v>
                </c:pt>
                <c:pt idx="351">
                  <c:v>Makkaroni in Tomatensahnesoße</c:v>
                </c:pt>
                <c:pt idx="352">
                  <c:v>Maiscremesuppe mit Bacon</c:v>
                </c:pt>
                <c:pt idx="353">
                  <c:v>Nudeln in Schinken-Pilz-Soße</c:v>
                </c:pt>
                <c:pt idx="354">
                  <c:v>Crespelle alla Bolognese</c:v>
                </c:pt>
                <c:pt idx="355">
                  <c:v>Leber in Tomaten-Zwiebelsauce</c:v>
                </c:pt>
                <c:pt idx="356">
                  <c:v>Gemüsepfanne</c:v>
                </c:pt>
                <c:pt idx="357">
                  <c:v>Fisolenrostbraten mit bunter Semmelknödeltorte</c:v>
                </c:pt>
                <c:pt idx="358">
                  <c:v>Bärlauch - Pizza mit Salami</c:v>
                </c:pt>
                <c:pt idx="359">
                  <c:v>Feurige Hühnerbeinchen</c:v>
                </c:pt>
                <c:pt idx="360">
                  <c:v>Gratin mit Kohlrabi und Hackfleisch</c:v>
                </c:pt>
                <c:pt idx="361">
                  <c:v>Steckrübentaler auf Gemüse mit Sanddornrahm</c:v>
                </c:pt>
                <c:pt idx="362">
                  <c:v>Gefüllte Cannelloni mit Schinken Käse</c:v>
                </c:pt>
                <c:pt idx="363">
                  <c:v>Spinat-Crespelle mit Schinken und Tomaten</c:v>
                </c:pt>
                <c:pt idx="364">
                  <c:v>Hähnchenbruststreifen mit Pflaumen-Schoko Sauce</c:v>
                </c:pt>
                <c:pt idx="365">
                  <c:v>Bärlauch - Pfannkuchen mit Spargel - Schinkenfüllung</c:v>
                </c:pt>
                <c:pt idx="366">
                  <c:v>Buntes Chili con carne</c:v>
                </c:pt>
                <c:pt idx="367">
                  <c:v>Ungarische Paprikanudeln</c:v>
                </c:pt>
                <c:pt idx="368">
                  <c:v>Kaninchen mit Nudeln</c:v>
                </c:pt>
                <c:pt idx="369">
                  <c:v>Gefülltes Gemüse</c:v>
                </c:pt>
                <c:pt idx="370">
                  <c:v>Marinierter Schweinerücken</c:v>
                </c:pt>
                <c:pt idx="371">
                  <c:v>Forellensalat mit Dillkartoffeln</c:v>
                </c:pt>
                <c:pt idx="372">
                  <c:v>Mittelalterliche Lutherpfanne</c:v>
                </c:pt>
                <c:pt idx="373">
                  <c:v>Arroz à la Cubanais</c:v>
                </c:pt>
                <c:pt idx="374">
                  <c:v>Fisch - Cazuela</c:v>
                </c:pt>
                <c:pt idx="375">
                  <c:v>Geschmorter Tafelspitz vom Kalb</c:v>
                </c:pt>
                <c:pt idx="376">
                  <c:v>Pasta mit Auberginen-Zucchini-Sugo</c:v>
                </c:pt>
                <c:pt idx="377">
                  <c:v>Feines Rindsfrikassee mit Spargel und Champignons</c:v>
                </c:pt>
                <c:pt idx="378">
                  <c:v>Grünkernauflauf mit Gemüse</c:v>
                </c:pt>
                <c:pt idx="379">
                  <c:v>Gemüse - Lasagne</c:v>
                </c:pt>
                <c:pt idx="380">
                  <c:v>Lachsfilet mit Nüssen auf Kürbis - Minze - Püree</c:v>
                </c:pt>
                <c:pt idx="381">
                  <c:v>Vegetarische Gemüse - Pilz - Cannelloni</c:v>
                </c:pt>
                <c:pt idx="382">
                  <c:v>Gefülltes Hähnchenbrustfilet auf Sommersalat mit Quinoa</c:v>
                </c:pt>
                <c:pt idx="383">
                  <c:v>Marinierter Tofu auf Linsensalat</c:v>
                </c:pt>
                <c:pt idx="384">
                  <c:v>Hähnchen süßsauer wie im Chinarestaurant</c:v>
                </c:pt>
                <c:pt idx="385">
                  <c:v>Türkischer grüne Bohnentopf</c:v>
                </c:pt>
                <c:pt idx="386">
                  <c:v>Hähnchenspieß mit Speckbananen</c:v>
                </c:pt>
                <c:pt idx="387">
                  <c:v>Würzig gefüllte Pita-Brote</c:v>
                </c:pt>
                <c:pt idx="388">
                  <c:v>Putengeschnetzeltes mit Karotten-Orangen-Soße</c:v>
                </c:pt>
                <c:pt idx="389">
                  <c:v>Japanische Nudelsuppe mit Hühnerbrühe und Schweinefilet-Ramen</c:v>
                </c:pt>
                <c:pt idx="390">
                  <c:v>Lammkotelettes auf Tomatenreis</c:v>
                </c:pt>
                <c:pt idx="391">
                  <c:v>Fisch mit Lauch und Tomaten auf Linsenbett</c:v>
                </c:pt>
                <c:pt idx="392">
                  <c:v>Original Odenwälder Hexenpfännchen</c:v>
                </c:pt>
                <c:pt idx="393">
                  <c:v>Teigtaschen mit Hackfleisch</c:v>
                </c:pt>
                <c:pt idx="394">
                  <c:v>SABO - Spaghetti mit Huhn und Gorgonzola</c:v>
                </c:pt>
                <c:pt idx="395">
                  <c:v>Pikanter Wirsingkohlauflauf</c:v>
                </c:pt>
                <c:pt idx="396">
                  <c:v>Asiatische Nudelpfanne</c:v>
                </c:pt>
                <c:pt idx="397">
                  <c:v>Texas Jailhouse Chili</c:v>
                </c:pt>
                <c:pt idx="398">
                  <c:v>Falscher Hase mit glacierten Möhren und Spätzle</c:v>
                </c:pt>
                <c:pt idx="399">
                  <c:v>Bratwurst - Puffer</c:v>
                </c:pt>
                <c:pt idx="400">
                  <c:v>Mandel - Geflügelsalat</c:v>
                </c:pt>
                <c:pt idx="401">
                  <c:v>Gebratene Nudeln mit Entenbrust</c:v>
                </c:pt>
                <c:pt idx="402">
                  <c:v>Gefüllte Entenkeule mit grünem Selleriepüree und Rotkohl</c:v>
                </c:pt>
                <c:pt idx="403">
                  <c:v>Spargel auf Eierkuchen mit Schinken und weißer Sauce mit Gorgonzola</c:v>
                </c:pt>
                <c:pt idx="404">
                  <c:v>Pizza Low Carb</c:v>
                </c:pt>
                <c:pt idx="405">
                  <c:v>Nizzaer Salat</c:v>
                </c:pt>
                <c:pt idx="406">
                  <c:v>Soja-Lauch-Torte mit Nüssen</c:v>
                </c:pt>
                <c:pt idx="407">
                  <c:v>Bolognese vegan</c:v>
                </c:pt>
                <c:pt idx="408">
                  <c:v>Babooti mit Lamm und Aprikosen</c:v>
                </c:pt>
                <c:pt idx="409">
                  <c:v>Butter mit Honig cremig rühren. Eier und das Vanillemark einrühren. Beide Mehlsorten mit Backpulver mischen. Die Mischung in die Eiermasse einrühren</c:v>
                </c:pt>
                <c:pt idx="410">
                  <c:v>Kürbis-Flammkuchen</c:v>
                </c:pt>
                <c:pt idx="411">
                  <c:v>Blaubeersuppe mit Grießklößchen</c:v>
                </c:pt>
                <c:pt idx="412">
                  <c:v>Blaubeerenauflauf</c:v>
                </c:pt>
                <c:pt idx="413">
                  <c:v>Blaubeerauflauf</c:v>
                </c:pt>
                <c:pt idx="414">
                  <c:v>Rehfilet in Vanille-Blume und Blaubeersauce mit Pfifferlingsknödeln</c:v>
                </c:pt>
                <c:pt idx="415">
                  <c:v>Lamm auf maurische Art</c:v>
                </c:pt>
                <c:pt idx="416">
                  <c:v>Heringsfilets auf Lauchzwiebeln und Tomaten</c:v>
                </c:pt>
                <c:pt idx="417">
                  <c:v>Rotkohl - Borschtsch mit Feigen</c:v>
                </c:pt>
                <c:pt idx="418">
                  <c:v>Fasanenbrust auf Zuckerschotenstroh mit Graupenrisotto an reduziertem Wildvogelfond</c:v>
                </c:pt>
                <c:pt idx="419">
                  <c:v>Staudensellerie-Möhren-Rosinenpfanne</c:v>
                </c:pt>
                <c:pt idx="420">
                  <c:v>Schweinefilet mit Feigen</c:v>
                </c:pt>
                <c:pt idx="421">
                  <c:v>Zanderfilet auf bayrisch Rahmkraut</c:v>
                </c:pt>
                <c:pt idx="422">
                  <c:v>Rahmbuchteln mit Kirschen</c:v>
                </c:pt>
                <c:pt idx="423">
                  <c:v>Kirschenmichel</c:v>
                </c:pt>
                <c:pt idx="424">
                  <c:v>Rehkeule mit Printensauce</c:v>
                </c:pt>
                <c:pt idx="425">
                  <c:v>Süße Lasagne</c:v>
                </c:pt>
                <c:pt idx="426">
                  <c:v>Warnemünder Heringssalat</c:v>
                </c:pt>
                <c:pt idx="427">
                  <c:v>Fruchtiger Nudelsalat</c:v>
                </c:pt>
                <c:pt idx="428">
                  <c:v>Putenschnitzel mit fruchtigem Reis - Curry</c:v>
                </c:pt>
                <c:pt idx="429">
                  <c:v>Indischer Gemüsereis mit Mandarinen</c:v>
                </c:pt>
                <c:pt idx="430">
                  <c:v>Ausgebackener Fisch mit süß - saurer Sauce</c:v>
                </c:pt>
                <c:pt idx="431">
                  <c:v>Wassermelonen-Gazpacho</c:v>
                </c:pt>
                <c:pt idx="432">
                  <c:v>Melonen-Gurken-Salat mit Minze und gerösteten Walnüssen</c:v>
                </c:pt>
                <c:pt idx="433">
                  <c:v>Melonen - Schafskäse Salatschiffche</c:v>
                </c:pt>
                <c:pt idx="434">
                  <c:v>Spanische Honigmelonensuppe</c:v>
                </c:pt>
                <c:pt idx="435">
                  <c:v>Zwetschgen - Rohrnudeln</c:v>
                </c:pt>
                <c:pt idx="436">
                  <c:v>Spätzli Tropical</c:v>
                </c:pt>
                <c:pt idx="437">
                  <c:v>Kabeljau mit Roter Bete</c:v>
                </c:pt>
                <c:pt idx="438">
                  <c:v>Winterlicher Maultaschensalat</c:v>
                </c:pt>
                <c:pt idx="439">
                  <c:v>Gewürz - Entenschlegel mit Steckrübenpüree</c:v>
                </c:pt>
                <c:pt idx="440">
                  <c:v>Schwalbennester mit zartem Gemüse</c:v>
                </c:pt>
                <c:pt idx="441">
                  <c:v>Rotkrautwickel aus dem Backofen</c:v>
                </c:pt>
                <c:pt idx="442">
                  <c:v>Gebratener Reis mit Hühnchen</c:v>
                </c:pt>
                <c:pt idx="443">
                  <c:v>Grießbrei mit Getreidesprossen</c:v>
                </c:pt>
                <c:pt idx="444">
                  <c:v>Spargel mit Poulet in Kokossauce</c:v>
                </c:pt>
                <c:pt idx="445">
                  <c:v>Chinakohlpfanne mit Bandnudeln</c:v>
                </c:pt>
              </c:strCache>
            </c:strRef>
          </c:xVal>
          <c:yVal>
            <c:numRef>
              <c:f>Rezept_Daten!$E$3:$E$448</c:f>
              <c:numCache>
                <c:formatCode>General</c:formatCode>
                <c:ptCount val="446"/>
                <c:pt idx="0">
                  <c:v>1.510400569183223</c:v>
                </c:pt>
                <c:pt idx="1">
                  <c:v>2.4651689874633655</c:v>
                </c:pt>
                <c:pt idx="2">
                  <c:v>0.61149800600930559</c:v>
                </c:pt>
                <c:pt idx="3">
                  <c:v>0.44997204847593819</c:v>
                </c:pt>
                <c:pt idx="4">
                  <c:v>3.2911171825091374</c:v>
                </c:pt>
                <c:pt idx="5">
                  <c:v>2.9570926791790892</c:v>
                </c:pt>
                <c:pt idx="6">
                  <c:v>2.3475281662803464</c:v>
                </c:pt>
                <c:pt idx="7">
                  <c:v>2.9135599857503944</c:v>
                </c:pt>
                <c:pt idx="8">
                  <c:v>1.8730457794580255</c:v>
                </c:pt>
                <c:pt idx="9">
                  <c:v>3.1719030444900245</c:v>
                </c:pt>
                <c:pt idx="10">
                  <c:v>0.42816023905632417</c:v>
                </c:pt>
                <c:pt idx="11">
                  <c:v>3.5472314187461542</c:v>
                </c:pt>
                <c:pt idx="12">
                  <c:v>2.6875238222464422</c:v>
                </c:pt>
                <c:pt idx="13">
                  <c:v>3.4827611337600981</c:v>
                </c:pt>
                <c:pt idx="14">
                  <c:v>0.73743896584143309</c:v>
                </c:pt>
                <c:pt idx="15">
                  <c:v>0.82045329625539631</c:v>
                </c:pt>
                <c:pt idx="16">
                  <c:v>3.1587681653874302</c:v>
                </c:pt>
                <c:pt idx="17">
                  <c:v>3.1009862314624783</c:v>
                </c:pt>
                <c:pt idx="18">
                  <c:v>2.7931552983938523</c:v>
                </c:pt>
                <c:pt idx="19">
                  <c:v>4.6191851684760863</c:v>
                </c:pt>
                <c:pt idx="20">
                  <c:v>1.4900525318450488</c:v>
                </c:pt>
                <c:pt idx="21">
                  <c:v>2.5419359660829768</c:v>
                </c:pt>
                <c:pt idx="22">
                  <c:v>3.3647500317080405</c:v>
                </c:pt>
                <c:pt idx="23">
                  <c:v>0.97257225111482404</c:v>
                </c:pt>
                <c:pt idx="24">
                  <c:v>1.82324405240331</c:v>
                </c:pt>
                <c:pt idx="25">
                  <c:v>1.9373735686429683</c:v>
                </c:pt>
                <c:pt idx="26">
                  <c:v>3.2407520610991742</c:v>
                </c:pt>
                <c:pt idx="27">
                  <c:v>3.3076742112835289</c:v>
                </c:pt>
                <c:pt idx="28">
                  <c:v>1.1485628243914392</c:v>
                </c:pt>
                <c:pt idx="29">
                  <c:v>0.1270454814056321</c:v>
                </c:pt>
                <c:pt idx="30">
                  <c:v>1.8148066964034726</c:v>
                </c:pt>
                <c:pt idx="31">
                  <c:v>2.0962483105249579</c:v>
                </c:pt>
                <c:pt idx="32">
                  <c:v>3.0601282826430269</c:v>
                </c:pt>
                <c:pt idx="33">
                  <c:v>1.5503555114865457</c:v>
                </c:pt>
                <c:pt idx="34">
                  <c:v>1.5503555114865457</c:v>
                </c:pt>
                <c:pt idx="35">
                  <c:v>1.282662089030072</c:v>
                </c:pt>
                <c:pt idx="36">
                  <c:v>2.4950326293231813</c:v>
                </c:pt>
                <c:pt idx="37">
                  <c:v>1.9054952784073569</c:v>
                </c:pt>
                <c:pt idx="38">
                  <c:v>1.9452567234168869</c:v>
                </c:pt>
                <c:pt idx="39">
                  <c:v>1.9452567234168869</c:v>
                </c:pt>
                <c:pt idx="40">
                  <c:v>0.88334106503729437</c:v>
                </c:pt>
                <c:pt idx="41">
                  <c:v>4.8439342366534843</c:v>
                </c:pt>
                <c:pt idx="42">
                  <c:v>0.86789056707917833</c:v>
                </c:pt>
                <c:pt idx="43">
                  <c:v>3.3404526808593982</c:v>
                </c:pt>
                <c:pt idx="44">
                  <c:v>2.9809208690382984</c:v>
                </c:pt>
                <c:pt idx="45">
                  <c:v>2.7620004642669818</c:v>
                </c:pt>
                <c:pt idx="46">
                  <c:v>2.6437811415024193</c:v>
                </c:pt>
                <c:pt idx="47">
                  <c:v>3.4283896002356649</c:v>
                </c:pt>
                <c:pt idx="48">
                  <c:v>1.7892504768307056</c:v>
                </c:pt>
                <c:pt idx="49">
                  <c:v>2.2562084862522038</c:v>
                </c:pt>
                <c:pt idx="50">
                  <c:v>2.8085684263059543</c:v>
                </c:pt>
                <c:pt idx="51">
                  <c:v>1.9215042941229772</c:v>
                </c:pt>
                <c:pt idx="52">
                  <c:v>2.8085684263059543</c:v>
                </c:pt>
                <c:pt idx="53">
                  <c:v>2.4711764571452015</c:v>
                </c:pt>
                <c:pt idx="54">
                  <c:v>2.0889812185069374</c:v>
                </c:pt>
                <c:pt idx="55">
                  <c:v>2.9474909358151633</c:v>
                </c:pt>
                <c:pt idx="56">
                  <c:v>2.971419536409118</c:v>
                </c:pt>
                <c:pt idx="57">
                  <c:v>0.86789056707917833</c:v>
                </c:pt>
                <c:pt idx="58">
                  <c:v>3.064703755895561</c:v>
                </c:pt>
                <c:pt idx="59">
                  <c:v>2.6437811415024193</c:v>
                </c:pt>
                <c:pt idx="60">
                  <c:v>4.9458729912740216</c:v>
                </c:pt>
                <c:pt idx="61">
                  <c:v>2.2020589667107835</c:v>
                </c:pt>
                <c:pt idx="62">
                  <c:v>1.4060061027630808</c:v>
                </c:pt>
                <c:pt idx="63">
                  <c:v>4.2233895141437818</c:v>
                </c:pt>
                <c:pt idx="64">
                  <c:v>1.719222255060405</c:v>
                </c:pt>
                <c:pt idx="65">
                  <c:v>1.6368925603691178</c:v>
                </c:pt>
                <c:pt idx="66">
                  <c:v>1.6180438644549584</c:v>
                </c:pt>
                <c:pt idx="67">
                  <c:v>2.4890943979837692</c:v>
                </c:pt>
                <c:pt idx="68">
                  <c:v>1.7978103867229986</c:v>
                </c:pt>
                <c:pt idx="69">
                  <c:v>1.3399340953026191</c:v>
                </c:pt>
                <c:pt idx="70">
                  <c:v>2.4890943979837692</c:v>
                </c:pt>
                <c:pt idx="71">
                  <c:v>2.0373114158210459</c:v>
                </c:pt>
                <c:pt idx="72">
                  <c:v>2.1813577915589297</c:v>
                </c:pt>
                <c:pt idx="73">
                  <c:v>1.8730457794580255</c:v>
                </c:pt>
                <c:pt idx="74">
                  <c:v>1.8483184801980492</c:v>
                </c:pt>
                <c:pt idx="75">
                  <c:v>2.2761347195875272</c:v>
                </c:pt>
                <c:pt idx="76">
                  <c:v>2.2360779642844122</c:v>
                </c:pt>
                <c:pt idx="77">
                  <c:v>0.18336925390921266</c:v>
                </c:pt>
                <c:pt idx="78">
                  <c:v>3.3967756520141918</c:v>
                </c:pt>
                <c:pt idx="79">
                  <c:v>2.5592560286991031</c:v>
                </c:pt>
                <c:pt idx="80">
                  <c:v>3.4750661456355809</c:v>
                </c:pt>
                <c:pt idx="81">
                  <c:v>4.5602789787827582</c:v>
                </c:pt>
                <c:pt idx="82">
                  <c:v>1.1357557510939174</c:v>
                </c:pt>
                <c:pt idx="83">
                  <c:v>2.1674327442768364</c:v>
                </c:pt>
                <c:pt idx="84">
                  <c:v>3.5359737868329759</c:v>
                </c:pt>
                <c:pt idx="85">
                  <c:v>0.9434611363791543</c:v>
                </c:pt>
                <c:pt idx="86">
                  <c:v>2.9950990171186698</c:v>
                </c:pt>
                <c:pt idx="87">
                  <c:v>3.6499626268441459</c:v>
                </c:pt>
                <c:pt idx="88">
                  <c:v>2.3153940319804134</c:v>
                </c:pt>
                <c:pt idx="89">
                  <c:v>1.7720046883260885</c:v>
                </c:pt>
                <c:pt idx="90">
                  <c:v>2.2761347195875272</c:v>
                </c:pt>
                <c:pt idx="91">
                  <c:v>2.903770817792183</c:v>
                </c:pt>
                <c:pt idx="92">
                  <c:v>2.903770817792183</c:v>
                </c:pt>
                <c:pt idx="93">
                  <c:v>2.6983216031787087</c:v>
                </c:pt>
                <c:pt idx="94">
                  <c:v>1.7978103867229986</c:v>
                </c:pt>
                <c:pt idx="95">
                  <c:v>1.3058251259666149</c:v>
                </c:pt>
                <c:pt idx="96">
                  <c:v>2.7356942763792382</c:v>
                </c:pt>
                <c:pt idx="97">
                  <c:v>1.8316414987190512</c:v>
                </c:pt>
                <c:pt idx="98">
                  <c:v>2.6382498276605553</c:v>
                </c:pt>
                <c:pt idx="99">
                  <c:v>5.0157496873887641</c:v>
                </c:pt>
                <c:pt idx="100">
                  <c:v>4.5421167159279685</c:v>
                </c:pt>
                <c:pt idx="101">
                  <c:v>2.6047562260953745</c:v>
                </c:pt>
                <c:pt idx="102">
                  <c:v>1.5797012262651111</c:v>
                </c:pt>
                <c:pt idx="103">
                  <c:v>2.1392764276472471</c:v>
                </c:pt>
                <c:pt idx="104">
                  <c:v>2.4531010665806861</c:v>
                </c:pt>
                <c:pt idx="105">
                  <c:v>3.4205240048676222</c:v>
                </c:pt>
                <c:pt idx="106">
                  <c:v>3.2702598393113602</c:v>
                </c:pt>
                <c:pt idx="107">
                  <c:v>2.0373114158210459</c:v>
                </c:pt>
                <c:pt idx="108">
                  <c:v>0.21044532230296342</c:v>
                </c:pt>
                <c:pt idx="109">
                  <c:v>1.7720046883260885</c:v>
                </c:pt>
                <c:pt idx="110">
                  <c:v>0.28782911088564145</c:v>
                </c:pt>
                <c:pt idx="111">
                  <c:v>2.385421126422993</c:v>
                </c:pt>
                <c:pt idx="112">
                  <c:v>3.2322540495288532</c:v>
                </c:pt>
                <c:pt idx="113">
                  <c:v>2.1534062293835232</c:v>
                </c:pt>
                <c:pt idx="114">
                  <c:v>5.1574532157882498</c:v>
                </c:pt>
                <c:pt idx="115">
                  <c:v>3.1719030444900245</c:v>
                </c:pt>
                <c:pt idx="116">
                  <c:v>3.3322994380721713</c:v>
                </c:pt>
                <c:pt idx="117">
                  <c:v>1.4485769145811158</c:v>
                </c:pt>
                <c:pt idx="118">
                  <c:v>2.0743626578853283</c:v>
                </c:pt>
                <c:pt idx="119">
                  <c:v>3.1543735576230079</c:v>
                </c:pt>
                <c:pt idx="120">
                  <c:v>2.0962483105249579</c:v>
                </c:pt>
                <c:pt idx="121">
                  <c:v>2.9761751594242041</c:v>
                </c:pt>
                <c:pt idx="122">
                  <c:v>1.4797825722566564</c:v>
                </c:pt>
                <c:pt idx="123">
                  <c:v>3.4479449129342443</c:v>
                </c:pt>
                <c:pt idx="124">
                  <c:v>1.2109963847764038</c:v>
                </c:pt>
                <c:pt idx="125">
                  <c:v>2.3218624020422913</c:v>
                </c:pt>
                <c:pt idx="126">
                  <c:v>2.4771664333475449</c:v>
                </c:pt>
                <c:pt idx="127">
                  <c:v>1.9054952784073569</c:v>
                </c:pt>
                <c:pt idx="128">
                  <c:v>2.660289563881145</c:v>
                </c:pt>
                <c:pt idx="129">
                  <c:v>1.9452567234168869</c:v>
                </c:pt>
                <c:pt idx="130">
                  <c:v>2.59912212845569</c:v>
                </c:pt>
                <c:pt idx="131">
                  <c:v>0.4713873860875526</c:v>
                </c:pt>
                <c:pt idx="132">
                  <c:v>2.7090655701765813</c:v>
                </c:pt>
                <c:pt idx="133">
                  <c:v>2.6271438972573105</c:v>
                </c:pt>
                <c:pt idx="134">
                  <c:v>2.7879934825234889</c:v>
                </c:pt>
                <c:pt idx="135">
                  <c:v>3.9869367772574718</c:v>
                </c:pt>
                <c:pt idx="136">
                  <c:v>3.2827959001365707</c:v>
                </c:pt>
                <c:pt idx="137">
                  <c:v>0.66700281258015748</c:v>
                </c:pt>
                <c:pt idx="138">
                  <c:v>1.3622668988148519</c:v>
                </c:pt>
                <c:pt idx="139">
                  <c:v>2.1951831400588677</c:v>
                </c:pt>
                <c:pt idx="140">
                  <c:v>3.0601282826430269</c:v>
                </c:pt>
                <c:pt idx="141">
                  <c:v>5.033534002145033</c:v>
                </c:pt>
                <c:pt idx="142">
                  <c:v>1.9452567234168869</c:v>
                </c:pt>
                <c:pt idx="143">
                  <c:v>3.1099691380078607</c:v>
                </c:pt>
                <c:pt idx="144">
                  <c:v>1.4060061027630808</c:v>
                </c:pt>
                <c:pt idx="145">
                  <c:v>2.59912212845569</c:v>
                </c:pt>
                <c:pt idx="146">
                  <c:v>3.2702598393113602</c:v>
                </c:pt>
                <c:pt idx="147">
                  <c:v>1.3733155327369002</c:v>
                </c:pt>
                <c:pt idx="148">
                  <c:v>4.932167057850859</c:v>
                </c:pt>
                <c:pt idx="149">
                  <c:v>2.3475281662803464</c:v>
                </c:pt>
                <c:pt idx="150">
                  <c:v>1.6180438644549584</c:v>
                </c:pt>
                <c:pt idx="151">
                  <c:v>3.3363794744713173</c:v>
                </c:pt>
                <c:pt idx="152">
                  <c:v>1.889343487033833</c:v>
                </c:pt>
                <c:pt idx="153">
                  <c:v>4.6013801501223917</c:v>
                </c:pt>
                <c:pt idx="154">
                  <c:v>3.6962938539466572</c:v>
                </c:pt>
                <c:pt idx="155">
                  <c:v>1.6831188896649083</c:v>
                </c:pt>
                <c:pt idx="156">
                  <c:v>2.9281643440150624</c:v>
                </c:pt>
                <c:pt idx="157">
                  <c:v>3.8738041048881762</c:v>
                </c:pt>
                <c:pt idx="158">
                  <c:v>2.0222830723804295</c:v>
                </c:pt>
                <c:pt idx="159">
                  <c:v>2.6548009202169354</c:v>
                </c:pt>
                <c:pt idx="160">
                  <c:v>1.7369948657368668</c:v>
                </c:pt>
                <c:pt idx="161">
                  <c:v>1.3842874270404275</c:v>
                </c:pt>
                <c:pt idx="162">
                  <c:v>1.6831188896649083</c:v>
                </c:pt>
                <c:pt idx="163">
                  <c:v>2.8890065414261814</c:v>
                </c:pt>
                <c:pt idx="164">
                  <c:v>1.9135174411404723</c:v>
                </c:pt>
                <c:pt idx="165">
                  <c:v>2.1321722114334651</c:v>
                </c:pt>
                <c:pt idx="166">
                  <c:v>0.64877112962780537</c:v>
                </c:pt>
                <c:pt idx="167">
                  <c:v>2.1744078396588113</c:v>
                </c:pt>
                <c:pt idx="168">
                  <c:v>2.5361305598639658</c:v>
                </c:pt>
                <c:pt idx="169">
                  <c:v>3.4205240048676222</c:v>
                </c:pt>
                <c:pt idx="170">
                  <c:v>2.5127457487483769</c:v>
                </c:pt>
                <c:pt idx="171">
                  <c:v>1.9764543997400592</c:v>
                </c:pt>
                <c:pt idx="172">
                  <c:v>2.3791549524197482</c:v>
                </c:pt>
                <c:pt idx="173">
                  <c:v>1.1485628243914392</c:v>
                </c:pt>
                <c:pt idx="174">
                  <c:v>4.3789020331175657</c:v>
                </c:pt>
                <c:pt idx="175">
                  <c:v>2.3347365019952671</c:v>
                </c:pt>
                <c:pt idx="176">
                  <c:v>2.6712248001776802</c:v>
                </c:pt>
                <c:pt idx="177">
                  <c:v>1.3622668988148519</c:v>
                </c:pt>
                <c:pt idx="178">
                  <c:v>3.2911171825091374</c:v>
                </c:pt>
                <c:pt idx="179">
                  <c:v>4.3540260735924656</c:v>
                </c:pt>
                <c:pt idx="180">
                  <c:v>1.9373735686429683</c:v>
                </c:pt>
                <c:pt idx="181">
                  <c:v>3.0185355999523722</c:v>
                </c:pt>
                <c:pt idx="182">
                  <c:v>2.1034876262165207</c:v>
                </c:pt>
                <c:pt idx="183">
                  <c:v>3.5397319167045911</c:v>
                </c:pt>
                <c:pt idx="184">
                  <c:v>1.4060061027630808</c:v>
                </c:pt>
                <c:pt idx="185">
                  <c:v>3.5133064149450064</c:v>
                </c:pt>
                <c:pt idx="186">
                  <c:v>2.5878086386692534</c:v>
                </c:pt>
                <c:pt idx="187">
                  <c:v>0.61149800600930559</c:v>
                </c:pt>
                <c:pt idx="188">
                  <c:v>4.1408099935069833</c:v>
                </c:pt>
                <c:pt idx="189">
                  <c:v>2.1250414674437987</c:v>
                </c:pt>
                <c:pt idx="190">
                  <c:v>0.75446548359463161</c:v>
                </c:pt>
                <c:pt idx="191">
                  <c:v>4.8486411684448703</c:v>
                </c:pt>
                <c:pt idx="192">
                  <c:v>2.2761347195875272</c:v>
                </c:pt>
                <c:pt idx="193">
                  <c:v>2.5186166531053553</c:v>
                </c:pt>
                <c:pt idx="194">
                  <c:v>3.1499707306178779</c:v>
                </c:pt>
                <c:pt idx="195">
                  <c:v>2.9666539494212429</c:v>
                </c:pt>
                <c:pt idx="196">
                  <c:v>2.4591438993877999</c:v>
                </c:pt>
                <c:pt idx="197">
                  <c:v>5.0622225692424863</c:v>
                </c:pt>
                <c:pt idx="198">
                  <c:v>4.3540260735924656</c:v>
                </c:pt>
                <c:pt idx="199">
                  <c:v>3.0278435687679996</c:v>
                </c:pt>
                <c:pt idx="200">
                  <c:v>2.4531010665806861</c:v>
                </c:pt>
                <c:pt idx="201">
                  <c:v>3.1936335503471502</c:v>
                </c:pt>
                <c:pt idx="202">
                  <c:v>3.4827611337600981</c:v>
                </c:pt>
                <c:pt idx="203">
                  <c:v>1.9531060351987133</c:v>
                </c:pt>
                <c:pt idx="204">
                  <c:v>3.1806192103471886</c:v>
                </c:pt>
                <c:pt idx="205">
                  <c:v>2.6215690964345173</c:v>
                </c:pt>
                <c:pt idx="206">
                  <c:v>2.440961654168194</c:v>
                </c:pt>
                <c:pt idx="207">
                  <c:v>2.5649976879153353</c:v>
                </c:pt>
                <c:pt idx="208">
                  <c:v>4.0433293252841747</c:v>
                </c:pt>
                <c:pt idx="209">
                  <c:v>1.0966523658497618</c:v>
                </c:pt>
                <c:pt idx="210">
                  <c:v>3.3322994380721713</c:v>
                </c:pt>
                <c:pt idx="211">
                  <c:v>1.7978103867229986</c:v>
                </c:pt>
                <c:pt idx="212">
                  <c:v>4.4388239263924207</c:v>
                </c:pt>
                <c:pt idx="213">
                  <c:v>2.9135599857503944</c:v>
                </c:pt>
                <c:pt idx="214">
                  <c:v>2.918438635168644</c:v>
                </c:pt>
                <c:pt idx="215">
                  <c:v>2.044780473100424</c:v>
                </c:pt>
                <c:pt idx="216">
                  <c:v>2.8340199628039722</c:v>
                </c:pt>
                <c:pt idx="217">
                  <c:v>1.8974374234167151</c:v>
                </c:pt>
                <c:pt idx="218">
                  <c:v>2.3728692509411049</c:v>
                </c:pt>
                <c:pt idx="219">
                  <c:v>3.1675328719622469</c:v>
                </c:pt>
                <c:pt idx="220">
                  <c:v>1.2942870060972682</c:v>
                </c:pt>
                <c:pt idx="221">
                  <c:v>1.5797012262651111</c:v>
                </c:pt>
                <c:pt idx="222">
                  <c:v>1.6555338704786884</c:v>
                </c:pt>
                <c:pt idx="223">
                  <c:v>1.991857055509282</c:v>
                </c:pt>
                <c:pt idx="224">
                  <c:v>2.7356942763792382</c:v>
                </c:pt>
                <c:pt idx="225">
                  <c:v>2.146354355095327</c:v>
                </c:pt>
                <c:pt idx="226">
                  <c:v>2.1106994226658173</c:v>
                </c:pt>
                <c:pt idx="227">
                  <c:v>1.6274944866616576</c:v>
                </c:pt>
                <c:pt idx="228">
                  <c:v>3.4980803595514915</c:v>
                </c:pt>
                <c:pt idx="229">
                  <c:v>4.2012352712990086E-3</c:v>
                </c:pt>
                <c:pt idx="230">
                  <c:v>3.0185355999523722</c:v>
                </c:pt>
                <c:pt idx="231">
                  <c:v>3.0964817661832535</c:v>
                </c:pt>
                <c:pt idx="232">
                  <c:v>2.8890065414261814</c:v>
                </c:pt>
                <c:pt idx="233">
                  <c:v>1.2352615766941573</c:v>
                </c:pt>
                <c:pt idx="234">
                  <c:v>3.1631545911700982</c:v>
                </c:pt>
                <c:pt idx="235">
                  <c:v>3.3363794744713173</c:v>
                </c:pt>
                <c:pt idx="236">
                  <c:v>0.75446548359463161</c:v>
                </c:pt>
                <c:pt idx="237">
                  <c:v>4.5316880000927497</c:v>
                </c:pt>
                <c:pt idx="238">
                  <c:v>2.0962483105249579</c:v>
                </c:pt>
                <c:pt idx="239">
                  <c:v>2.6437811415024193</c:v>
                </c:pt>
                <c:pt idx="240">
                  <c:v>2.3283098373115827</c:v>
                </c:pt>
                <c:pt idx="241">
                  <c:v>1.500258207151977</c:v>
                </c:pt>
                <c:pt idx="242">
                  <c:v>0.85226251271128728</c:v>
                </c:pt>
                <c:pt idx="243">
                  <c:v>2.2761347195875272</c:v>
                </c:pt>
                <c:pt idx="244">
                  <c:v>2.385421126422993</c:v>
                </c:pt>
                <c:pt idx="245">
                  <c:v>3.2660665933313631</c:v>
                </c:pt>
                <c:pt idx="246">
                  <c:v>2.1178839531959186</c:v>
                </c:pt>
                <c:pt idx="247">
                  <c:v>3.1233790436206883</c:v>
                </c:pt>
                <c:pt idx="248">
                  <c:v>0.68497698207312263</c:v>
                </c:pt>
                <c:pt idx="249">
                  <c:v>2.5934729654673188</c:v>
                </c:pt>
                <c:pt idx="250">
                  <c:v>1.4060061027630808</c:v>
                </c:pt>
                <c:pt idx="251">
                  <c:v>2.3023938202507397</c:v>
                </c:pt>
                <c:pt idx="252">
                  <c:v>4.4008354187247498</c:v>
                </c:pt>
                <c:pt idx="253">
                  <c:v>1.806328965729838</c:v>
                </c:pt>
                <c:pt idx="254">
                  <c:v>0.77127363809158966</c:v>
                </c:pt>
                <c:pt idx="255">
                  <c:v>3.3888083493283121</c:v>
                </c:pt>
                <c:pt idx="256">
                  <c:v>3.4557240661127633</c:v>
                </c:pt>
                <c:pt idx="257">
                  <c:v>1.3733155327369002</c:v>
                </c:pt>
                <c:pt idx="258">
                  <c:v>1.82324405240331</c:v>
                </c:pt>
                <c:pt idx="259">
                  <c:v>3.5018955541463255</c:v>
                </c:pt>
                <c:pt idx="260">
                  <c:v>3.1322764754911834</c:v>
                </c:pt>
                <c:pt idx="261">
                  <c:v>1.3172780098407677</c:v>
                </c:pt>
                <c:pt idx="262">
                  <c:v>1.1863346347757919</c:v>
                </c:pt>
                <c:pt idx="263">
                  <c:v>2.8791093338616394</c:v>
                </c:pt>
                <c:pt idx="264">
                  <c:v>1.1228366096189069</c:v>
                </c:pt>
                <c:pt idx="265">
                  <c:v>1.1485628243914392</c:v>
                </c:pt>
                <c:pt idx="266">
                  <c:v>0.44997204847593819</c:v>
                </c:pt>
                <c:pt idx="267">
                  <c:v>0.33655932015788759</c:v>
                </c:pt>
                <c:pt idx="268">
                  <c:v>2.0962483105249579</c:v>
                </c:pt>
                <c:pt idx="269">
                  <c:v>1.2472502421342306</c:v>
                </c:pt>
                <c:pt idx="270">
                  <c:v>0.26263844951544568</c:v>
                </c:pt>
                <c:pt idx="271">
                  <c:v>0.8986188395958612</c:v>
                </c:pt>
                <c:pt idx="272">
                  <c:v>1.6555338704786884</c:v>
                </c:pt>
                <c:pt idx="273">
                  <c:v>4.31770969181939</c:v>
                </c:pt>
                <c:pt idx="274">
                  <c:v>2.5127457487483769</c:v>
                </c:pt>
                <c:pt idx="275">
                  <c:v>1.4274328065280564</c:v>
                </c:pt>
                <c:pt idx="276">
                  <c:v>1.3058251259666149</c:v>
                </c:pt>
                <c:pt idx="277">
                  <c:v>2.7144175765511775</c:v>
                </c:pt>
                <c:pt idx="278">
                  <c:v>2.2157379779768966</c:v>
                </c:pt>
                <c:pt idx="279">
                  <c:v>3.7348597263247774</c:v>
                </c:pt>
                <c:pt idx="280">
                  <c:v>1.7458134225671733</c:v>
                </c:pt>
                <c:pt idx="281">
                  <c:v>2.4287497101918039</c:v>
                </c:pt>
                <c:pt idx="282">
                  <c:v>1.6922159854478571</c:v>
                </c:pt>
                <c:pt idx="283">
                  <c:v>3.36877619570076</c:v>
                </c:pt>
                <c:pt idx="284">
                  <c:v>1.2231775799169111</c:v>
                </c:pt>
                <c:pt idx="285">
                  <c:v>1.7978103867229986</c:v>
                </c:pt>
                <c:pt idx="286">
                  <c:v>4.0495239440647444</c:v>
                </c:pt>
                <c:pt idx="287">
                  <c:v>1.8812130733377623</c:v>
                </c:pt>
                <c:pt idx="288">
                  <c:v>0.92867453348211582</c:v>
                </c:pt>
                <c:pt idx="289">
                  <c:v>1.8316414987190512</c:v>
                </c:pt>
                <c:pt idx="290">
                  <c:v>4.0215371333176186</c:v>
                </c:pt>
                <c:pt idx="291">
                  <c:v>3.2492199841231244</c:v>
                </c:pt>
                <c:pt idx="292">
                  <c:v>2.3023938202507397</c:v>
                </c:pt>
                <c:pt idx="293">
                  <c:v>3.1009862314624783</c:v>
                </c:pt>
                <c:pt idx="294">
                  <c:v>0.78787012494133934</c:v>
                </c:pt>
                <c:pt idx="295">
                  <c:v>2.3023938202507397</c:v>
                </c:pt>
                <c:pt idx="296">
                  <c:v>2.971419536409118</c:v>
                </c:pt>
                <c:pt idx="297">
                  <c:v>0.533419971507616</c:v>
                </c:pt>
                <c:pt idx="298">
                  <c:v>1.2352615766941573</c:v>
                </c:pt>
                <c:pt idx="299">
                  <c:v>1.7720046883260885</c:v>
                </c:pt>
                <c:pt idx="300">
                  <c:v>2.8840634122999154</c:v>
                </c:pt>
                <c:pt idx="301">
                  <c:v>2.5303089462361728</c:v>
                </c:pt>
                <c:pt idx="302">
                  <c:v>3.041735263519465</c:v>
                </c:pt>
                <c:pt idx="303">
                  <c:v>2.3475281662803464</c:v>
                </c:pt>
                <c:pt idx="304">
                  <c:v>1.0151401406280751</c:v>
                </c:pt>
                <c:pt idx="305">
                  <c:v>3.6643072658909004</c:v>
                </c:pt>
                <c:pt idx="306">
                  <c:v>2.6712248001776802</c:v>
                </c:pt>
                <c:pt idx="307">
                  <c:v>2.1034876262165207</c:v>
                </c:pt>
                <c:pt idx="308">
                  <c:v>2.1813577915589297</c:v>
                </c:pt>
                <c:pt idx="309">
                  <c:v>1.806328965729838</c:v>
                </c:pt>
                <c:pt idx="310">
                  <c:v>1.8316414987190512</c:v>
                </c:pt>
                <c:pt idx="311">
                  <c:v>2.0743626578853283</c:v>
                </c:pt>
                <c:pt idx="312">
                  <c:v>4.5342986317650125</c:v>
                </c:pt>
                <c:pt idx="313">
                  <c:v>1.3058251259666149</c:v>
                </c:pt>
                <c:pt idx="314">
                  <c:v>1.8148066964034726</c:v>
                </c:pt>
                <c:pt idx="315">
                  <c:v>3.2194500428161401</c:v>
                </c:pt>
                <c:pt idx="316">
                  <c:v>1.5699767193638454</c:v>
                </c:pt>
                <c:pt idx="317">
                  <c:v>0.55340950597965621</c:v>
                </c:pt>
                <c:pt idx="318">
                  <c:v>1.991857055509282</c:v>
                </c:pt>
                <c:pt idx="319">
                  <c:v>1.728131330792912</c:v>
                </c:pt>
                <c:pt idx="320">
                  <c:v>2.4348648145660308</c:v>
                </c:pt>
                <c:pt idx="321">
                  <c:v>0.55340950597965621</c:v>
                </c:pt>
                <c:pt idx="322">
                  <c:v>2.8791093338616394</c:v>
                </c:pt>
                <c:pt idx="323">
                  <c:v>0.57307761105324406</c:v>
                </c:pt>
                <c:pt idx="324">
                  <c:v>1.3172780098407677</c:v>
                </c:pt>
                <c:pt idx="325">
                  <c:v>3.3445190850077902</c:v>
                </c:pt>
                <c:pt idx="326">
                  <c:v>2.0743626578853283</c:v>
                </c:pt>
                <c:pt idx="327">
                  <c:v>2.1813577915589297</c:v>
                </c:pt>
                <c:pt idx="328">
                  <c:v>2.7879934825234889</c:v>
                </c:pt>
                <c:pt idx="329">
                  <c:v>3.8069404273064196</c:v>
                </c:pt>
                <c:pt idx="330">
                  <c:v>2.2089105100978168</c:v>
                </c:pt>
                <c:pt idx="331">
                  <c:v>4.4307252357066167</c:v>
                </c:pt>
                <c:pt idx="332">
                  <c:v>3.3241187632504197</c:v>
                </c:pt>
                <c:pt idx="333">
                  <c:v>2.5934729654673188</c:v>
                </c:pt>
                <c:pt idx="334">
                  <c:v>2.4102934625906993</c:v>
                </c:pt>
                <c:pt idx="335">
                  <c:v>2.1744078396588113</c:v>
                </c:pt>
                <c:pt idx="336">
                  <c:v>1.991857055509282</c:v>
                </c:pt>
                <c:pt idx="337">
                  <c:v>4.4062928862400934</c:v>
                </c:pt>
                <c:pt idx="338">
                  <c:v>2.7620004642669818</c:v>
                </c:pt>
                <c:pt idx="339">
                  <c:v>3.3322994380721713</c:v>
                </c:pt>
                <c:pt idx="340">
                  <c:v>4.6141088387288942</c:v>
                </c:pt>
                <c:pt idx="341">
                  <c:v>1.1098029818920789</c:v>
                </c:pt>
                <c:pt idx="342">
                  <c:v>2.9474909358151633</c:v>
                </c:pt>
                <c:pt idx="343">
                  <c:v>1.9135174411404723</c:v>
                </c:pt>
                <c:pt idx="344">
                  <c:v>2.9426747558303523</c:v>
                </c:pt>
                <c:pt idx="345">
                  <c:v>1.8974374234167151</c:v>
                </c:pt>
                <c:pt idx="346">
                  <c:v>2.044780473100424</c:v>
                </c:pt>
                <c:pt idx="347">
                  <c:v>2.5764340946519413</c:v>
                </c:pt>
                <c:pt idx="348">
                  <c:v>3.2065768488821424</c:v>
                </c:pt>
                <c:pt idx="349">
                  <c:v>3.1411402684951124</c:v>
                </c:pt>
                <c:pt idx="350">
                  <c:v>1.9215042941229772</c:v>
                </c:pt>
                <c:pt idx="351">
                  <c:v>1.7892504768307056</c:v>
                </c:pt>
                <c:pt idx="352">
                  <c:v>2.1534062293835232</c:v>
                </c:pt>
                <c:pt idx="353">
                  <c:v>2.1106994226658173</c:v>
                </c:pt>
                <c:pt idx="354">
                  <c:v>2.7144175765511775</c:v>
                </c:pt>
                <c:pt idx="355">
                  <c:v>3.2322540495288532</c:v>
                </c:pt>
                <c:pt idx="356">
                  <c:v>1.7102670645942353</c:v>
                </c:pt>
                <c:pt idx="357">
                  <c:v>2.6103753558351928</c:v>
                </c:pt>
                <c:pt idx="358">
                  <c:v>2.7250820344767401</c:v>
                </c:pt>
                <c:pt idx="359">
                  <c:v>2.3791549524197482</c:v>
                </c:pt>
                <c:pt idx="360">
                  <c:v>2.8441191627408111</c:v>
                </c:pt>
                <c:pt idx="361">
                  <c:v>1.889343487033833</c:v>
                </c:pt>
                <c:pt idx="362">
                  <c:v>2.1178839531959186</c:v>
                </c:pt>
                <c:pt idx="363">
                  <c:v>1.728131330792912</c:v>
                </c:pt>
                <c:pt idx="364">
                  <c:v>2.4287497101918039</c:v>
                </c:pt>
                <c:pt idx="365">
                  <c:v>1.3842874270404275</c:v>
                </c:pt>
                <c:pt idx="366">
                  <c:v>3.2618660162146318</c:v>
                </c:pt>
                <c:pt idx="367">
                  <c:v>2.1106994226658173</c:v>
                </c:pt>
                <c:pt idx="368">
                  <c:v>3.8372378795601314</c:v>
                </c:pt>
                <c:pt idx="369">
                  <c:v>2.9570926791790892</c:v>
                </c:pt>
                <c:pt idx="370">
                  <c:v>2.5009538530358695</c:v>
                </c:pt>
                <c:pt idx="371">
                  <c:v>0.92867453348211582</c:v>
                </c:pt>
                <c:pt idx="372">
                  <c:v>3.0509500865871004</c:v>
                </c:pt>
                <c:pt idx="373">
                  <c:v>3.4047172283645812</c:v>
                </c:pt>
                <c:pt idx="374">
                  <c:v>0.44997204847593819</c:v>
                </c:pt>
                <c:pt idx="375">
                  <c:v>5.3358663184417097</c:v>
                </c:pt>
                <c:pt idx="376">
                  <c:v>1.6831188896649083</c:v>
                </c:pt>
                <c:pt idx="377">
                  <c:v>3.6927592750764449</c:v>
                </c:pt>
                <c:pt idx="378">
                  <c:v>1.2591453869044642</c:v>
                </c:pt>
                <c:pt idx="379">
                  <c:v>1.6085399725697687</c:v>
                </c:pt>
                <c:pt idx="380">
                  <c:v>3.4440461751121578</c:v>
                </c:pt>
                <c:pt idx="381">
                  <c:v>1.7892504768307056</c:v>
                </c:pt>
                <c:pt idx="382">
                  <c:v>1.8730457794580255</c:v>
                </c:pt>
                <c:pt idx="383">
                  <c:v>1.1485628243914392</c:v>
                </c:pt>
                <c:pt idx="384">
                  <c:v>2.385421126422993</c:v>
                </c:pt>
                <c:pt idx="385">
                  <c:v>2.3153940319804134</c:v>
                </c:pt>
                <c:pt idx="386">
                  <c:v>2.353893484245063</c:v>
                </c:pt>
                <c:pt idx="387">
                  <c:v>2.3153940319804134</c:v>
                </c:pt>
                <c:pt idx="388">
                  <c:v>2.9086707320569936</c:v>
                </c:pt>
                <c:pt idx="389">
                  <c:v>2.385421126422993</c:v>
                </c:pt>
                <c:pt idx="390">
                  <c:v>4.8297702300045016</c:v>
                </c:pt>
                <c:pt idx="391">
                  <c:v>3.3485787145088342</c:v>
                </c:pt>
                <c:pt idx="392">
                  <c:v>2.632704110133985</c:v>
                </c:pt>
                <c:pt idx="393">
                  <c:v>3.6391513601440542</c:v>
                </c:pt>
                <c:pt idx="394">
                  <c:v>2.5009538530358695</c:v>
                </c:pt>
                <c:pt idx="395">
                  <c:v>0.913728517985676</c:v>
                </c:pt>
                <c:pt idx="396">
                  <c:v>2.3475281662803464</c:v>
                </c:pt>
                <c:pt idx="397">
                  <c:v>3.6210306496367677</c:v>
                </c:pt>
                <c:pt idx="398">
                  <c:v>2.8541726105777867</c:v>
                </c:pt>
                <c:pt idx="399">
                  <c:v>1.7369948657368668</c:v>
                </c:pt>
                <c:pt idx="400">
                  <c:v>2.9233067361369915</c:v>
                </c:pt>
                <c:pt idx="401">
                  <c:v>1.7369948657368668</c:v>
                </c:pt>
                <c:pt idx="402">
                  <c:v>2.2695150294203268</c:v>
                </c:pt>
                <c:pt idx="403">
                  <c:v>1.3842874270404275</c:v>
                </c:pt>
                <c:pt idx="404">
                  <c:v>1.3286471747611617</c:v>
                </c:pt>
                <c:pt idx="405">
                  <c:v>0.68497698207312263</c:v>
                </c:pt>
                <c:pt idx="406">
                  <c:v>2.2157379779768966</c:v>
                </c:pt>
                <c:pt idx="407">
                  <c:v>0.82045329625539631</c:v>
                </c:pt>
                <c:pt idx="408">
                  <c:v>4.2175708972984776</c:v>
                </c:pt>
                <c:pt idx="409">
                  <c:v>2.0596298094800645</c:v>
                </c:pt>
                <c:pt idx="410">
                  <c:v>1.3733155327369002</c:v>
                </c:pt>
                <c:pt idx="411">
                  <c:v>1.6180438644549584</c:v>
                </c:pt>
                <c:pt idx="412">
                  <c:v>1.8648411954063198</c:v>
                </c:pt>
                <c:pt idx="413">
                  <c:v>1.6922159854478571</c:v>
                </c:pt>
                <c:pt idx="414">
                  <c:v>4.6013801501223917</c:v>
                </c:pt>
                <c:pt idx="415">
                  <c:v>5.9272360934869113</c:v>
                </c:pt>
                <c:pt idx="416">
                  <c:v>1.1357557510939174</c:v>
                </c:pt>
                <c:pt idx="417">
                  <c:v>1.1485628243914392</c:v>
                </c:pt>
                <c:pt idx="418">
                  <c:v>3.6345659440606415E-2</c:v>
                </c:pt>
                <c:pt idx="419">
                  <c:v>1.7545875529896966</c:v>
                </c:pt>
                <c:pt idx="420">
                  <c:v>2.7409810099470775</c:v>
                </c:pt>
                <c:pt idx="421">
                  <c:v>1.4380396177344719</c:v>
                </c:pt>
                <c:pt idx="422">
                  <c:v>1.5601950890868301</c:v>
                </c:pt>
                <c:pt idx="423">
                  <c:v>1.6462387913622805</c:v>
                </c:pt>
                <c:pt idx="424">
                  <c:v>5.000105978123031</c:v>
                </c:pt>
                <c:pt idx="425">
                  <c:v>2.5592560286991031</c:v>
                </c:pt>
                <c:pt idx="426">
                  <c:v>0.9434611363791543</c:v>
                </c:pt>
                <c:pt idx="427">
                  <c:v>2.5127457487483769</c:v>
                </c:pt>
                <c:pt idx="428">
                  <c:v>2.7931552983938523</c:v>
                </c:pt>
                <c:pt idx="429">
                  <c:v>1.1863346347757919</c:v>
                </c:pt>
                <c:pt idx="430">
                  <c:v>2.2695150294203268</c:v>
                </c:pt>
                <c:pt idx="431">
                  <c:v>1.0833821713877105</c:v>
                </c:pt>
                <c:pt idx="432">
                  <c:v>0.64877112962780537</c:v>
                </c:pt>
                <c:pt idx="433">
                  <c:v>0.913728517985676</c:v>
                </c:pt>
                <c:pt idx="434">
                  <c:v>1.0151401406280751</c:v>
                </c:pt>
                <c:pt idx="435">
                  <c:v>1.763317798032296</c:v>
                </c:pt>
                <c:pt idx="436">
                  <c:v>1.3951838666834875</c:v>
                </c:pt>
                <c:pt idx="437">
                  <c:v>1.1987160654550095</c:v>
                </c:pt>
                <c:pt idx="438">
                  <c:v>0.70270231848520037</c:v>
                </c:pt>
                <c:pt idx="439">
                  <c:v>2.0222830723804295</c:v>
                </c:pt>
                <c:pt idx="440">
                  <c:v>1.0428268035576149</c:v>
                </c:pt>
                <c:pt idx="441">
                  <c:v>3.5018955541463255</c:v>
                </c:pt>
                <c:pt idx="442">
                  <c:v>2.874144246871384</c:v>
                </c:pt>
                <c:pt idx="443">
                  <c:v>2.7828194981485428</c:v>
                </c:pt>
                <c:pt idx="444">
                  <c:v>1.6555338704786884</c:v>
                </c:pt>
                <c:pt idx="445">
                  <c:v>2.9666539494212429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B8-4B57-867E-3E8407221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44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2520"/>
        <c:crosses val="autoZero"/>
        <c:crossBetween val="midCat"/>
      </c:valAx>
      <c:valAx>
        <c:axId val="851982520"/>
        <c:scaling>
          <c:orientation val="minMax"/>
          <c:max val="6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74-4126-B165-5F18A6D3D3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74-4126-B165-5F18A6D3D3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74-4126-B165-5F18A6D3D3E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74-4126-B165-5F18A6D3D3E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74-4126-B165-5F18A6D3D3E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74-4126-B165-5F18A6D3D3E1}"/>
              </c:ext>
            </c:extLst>
          </c:dPt>
          <c:dPt>
            <c:idx val="6"/>
            <c:invertIfNegative val="0"/>
            <c:bubble3D val="0"/>
            <c:spPr>
              <a:solidFill>
                <a:srgbClr val="F0991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74-4126-B165-5F18A6D3D3E1}"/>
              </c:ext>
            </c:extLst>
          </c:dPt>
          <c:dPt>
            <c:idx val="7"/>
            <c:invertIfNegative val="0"/>
            <c:bubble3D val="0"/>
            <c:spPr>
              <a:solidFill>
                <a:srgbClr val="FA50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74-4126-B165-5F18A6D3D3E1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74-4126-B165-5F18A6D3D3E1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74-4126-B165-5F18A6D3D3E1}"/>
              </c:ext>
            </c:extLst>
          </c:dPt>
          <c:cat>
            <c:numRef>
              <c:f>Rezept_Analyse!$E$44:$E$53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Rezept_Analyse!$D$44:$D$53</c:f>
              <c:numCache>
                <c:formatCode>General</c:formatCode>
                <c:ptCount val="10"/>
                <c:pt idx="0">
                  <c:v>13</c:v>
                </c:pt>
                <c:pt idx="1">
                  <c:v>31</c:v>
                </c:pt>
                <c:pt idx="2">
                  <c:v>50</c:v>
                </c:pt>
                <c:pt idx="3">
                  <c:v>79</c:v>
                </c:pt>
                <c:pt idx="4">
                  <c:v>82</c:v>
                </c:pt>
                <c:pt idx="5">
                  <c:v>78</c:v>
                </c:pt>
                <c:pt idx="6">
                  <c:v>62</c:v>
                </c:pt>
                <c:pt idx="7">
                  <c:v>17</c:v>
                </c:pt>
                <c:pt idx="8">
                  <c:v>14</c:v>
                </c:pt>
                <c:pt idx="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74-4126-B165-5F18A6D3D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192768"/>
        <c:axId val="725193096"/>
      </c:barChart>
      <c:catAx>
        <c:axId val="72519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3096"/>
        <c:crosses val="autoZero"/>
        <c:auto val="1"/>
        <c:lblAlgn val="ctr"/>
        <c:lblOffset val="100"/>
        <c:noMultiLvlLbl val="0"/>
      </c:catAx>
      <c:valAx>
        <c:axId val="7251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Rezept_Daten!$G$2</c:f>
              <c:strCache>
                <c:ptCount val="1"/>
                <c:pt idx="0">
                  <c:v>Wasser / 100g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Rezept_Daten!$C$3:$C$448</c:f>
              <c:strCache>
                <c:ptCount val="446"/>
                <c:pt idx="0">
                  <c:v>Palajitas</c:v>
                </c:pt>
                <c:pt idx="1">
                  <c:v>Asiatisches Schweinefilet aus dem Wok</c:v>
                </c:pt>
                <c:pt idx="2">
                  <c:v>Neapolitaner Minestrone</c:v>
                </c:pt>
                <c:pt idx="3">
                  <c:v>Rievkooche-Burger</c:v>
                </c:pt>
                <c:pt idx="4">
                  <c:v>Griechischer Hackbraten und Gurkensalat mit Joghurt</c:v>
                </c:pt>
                <c:pt idx="5">
                  <c:v>Pizza-Raclette</c:v>
                </c:pt>
                <c:pt idx="6">
                  <c:v>Bunter Sommersalat mit Putenbruststreifen und Caesars Dressing</c:v>
                </c:pt>
                <c:pt idx="7">
                  <c:v>Fischsuppe à la Krakenes Fyr</c:v>
                </c:pt>
                <c:pt idx="8">
                  <c:v>Dorsch Rückenfilet mit Waldkräutersenfkruste auf Tomaten - Gemüserisotto</c:v>
                </c:pt>
                <c:pt idx="9">
                  <c:v>Kürbis-Moussaka</c:v>
                </c:pt>
                <c:pt idx="10">
                  <c:v>Linsen-Kartoffeleintopf</c:v>
                </c:pt>
                <c:pt idx="11">
                  <c:v>Cannelloni mit Kalbfleisch - Artischockenfüllung und Käsesauce</c:v>
                </c:pt>
                <c:pt idx="12">
                  <c:v>Kürbistarte mit Schafskäse</c:v>
                </c:pt>
                <c:pt idx="13">
                  <c:v>Chefkoch Pulled Teriyaki-Lachs-Burger</c:v>
                </c:pt>
                <c:pt idx="14">
                  <c:v>Türkische Gemüsesuppe</c:v>
                </c:pt>
                <c:pt idx="15">
                  <c:v>Cashew-Spinat-Lasagne</c:v>
                </c:pt>
                <c:pt idx="16">
                  <c:v>Rinderrouladen nach Ammerländer Art</c:v>
                </c:pt>
                <c:pt idx="17">
                  <c:v>Orientalisch gefüllter Kürbis</c:v>
                </c:pt>
                <c:pt idx="18">
                  <c:v>Grillplatte mit Fleisch und Gemüse</c:v>
                </c:pt>
                <c:pt idx="19">
                  <c:v>Erdnuss-Hackbällchen in Currysauce</c:v>
                </c:pt>
                <c:pt idx="20">
                  <c:v>Bouillabaisse Marseillaise</c:v>
                </c:pt>
                <c:pt idx="21">
                  <c:v>Rosenkohlgemüse mit Mini - Frikadellen</c:v>
                </c:pt>
                <c:pt idx="22">
                  <c:v>Crêpes mit Mittelmeerfrüchten</c:v>
                </c:pt>
                <c:pt idx="23">
                  <c:v>Sommerpfannkuchen mit Zucchini-Knoblauch-Frischkäse-Füllung</c:v>
                </c:pt>
                <c:pt idx="24">
                  <c:v>Erdbeerspargelsalat auf Wildkräuterbett u.v.m.</c:v>
                </c:pt>
                <c:pt idx="25">
                  <c:v>Italienischer Silvestersalat</c:v>
                </c:pt>
                <c:pt idx="26">
                  <c:v>Currygeschnetzeltes mit Mandelreis</c:v>
                </c:pt>
                <c:pt idx="27">
                  <c:v>Das beste Chili con Carne</c:v>
                </c:pt>
                <c:pt idx="28">
                  <c:v>Gefüllter Gänsebraten mit Serviettenknödeln</c:v>
                </c:pt>
                <c:pt idx="29">
                  <c:v>Bunter Hackfleisch-Gemüse-Eintopf</c:v>
                </c:pt>
                <c:pt idx="30">
                  <c:v>Kartoffel-Moussaka</c:v>
                </c:pt>
                <c:pt idx="31">
                  <c:v>Lollo mit Hähnchen</c:v>
                </c:pt>
                <c:pt idx="32">
                  <c:v>Ragout fin mit gemischten Pilzen</c:v>
                </c:pt>
                <c:pt idx="33">
                  <c:v>Falafel-Wrap mit Dattel-Schmand-Dip</c:v>
                </c:pt>
                <c:pt idx="34">
                  <c:v>Bucatini Auflauf</c:v>
                </c:pt>
                <c:pt idx="35">
                  <c:v>Bouillabaisse</c:v>
                </c:pt>
                <c:pt idx="36">
                  <c:v>Spargeleintopf mit Fleischklößchen</c:v>
                </c:pt>
                <c:pt idx="37">
                  <c:v>Gefüllte Buchteln mit Frühlingssalat</c:v>
                </c:pt>
                <c:pt idx="38">
                  <c:v>Überbackene Mettklößchen</c:v>
                </c:pt>
                <c:pt idx="39">
                  <c:v>Tortelloni mit Kaninchenleberfüllung und Salbei-Spargel-Butter</c:v>
                </c:pt>
                <c:pt idx="40">
                  <c:v>Minestrone</c:v>
                </c:pt>
                <c:pt idx="41">
                  <c:v>Saftige NT-Kalbsnuss an glacierten Möhren und Kartoffelsoufflé</c:v>
                </c:pt>
                <c:pt idx="42">
                  <c:v>Gebratene Nudeln mit Gemüse, asiatisch</c:v>
                </c:pt>
                <c:pt idx="43">
                  <c:v>Sommerlicher Fisch - Traum</c:v>
                </c:pt>
                <c:pt idx="44">
                  <c:v>Gefüllter Hokkaido - Kürbis</c:v>
                </c:pt>
                <c:pt idx="45">
                  <c:v>Agis Gyros in Metaxasauce</c:v>
                </c:pt>
                <c:pt idx="46">
                  <c:v>Süßkartoffelquiche</c:v>
                </c:pt>
                <c:pt idx="47">
                  <c:v>Scharfe Bananen - Fleischbällchen mit süß - saurer Sauce</c:v>
                </c:pt>
                <c:pt idx="48">
                  <c:v>Chrissis Lahmacun</c:v>
                </c:pt>
                <c:pt idx="49">
                  <c:v>Italienischer Eintopf</c:v>
                </c:pt>
                <c:pt idx="50">
                  <c:v>Fischragout mit Gemüse</c:v>
                </c:pt>
                <c:pt idx="51">
                  <c:v>Vegetarischer Nudelauflauf mit Kürbis</c:v>
                </c:pt>
                <c:pt idx="52">
                  <c:v>Polenta - Auflauf 'South Haven'</c:v>
                </c:pt>
                <c:pt idx="53">
                  <c:v>Karibische Gemüse - Hähnchenspieße mit scharfem Mangochutney</c:v>
                </c:pt>
                <c:pt idx="54">
                  <c:v>Mariniertes Steak mit Grillkartoffel und Gemüsespieß</c:v>
                </c:pt>
                <c:pt idx="55">
                  <c:v>Feuermohns gefüllte Lachs Spinat Cannelloni</c:v>
                </c:pt>
                <c:pt idx="56">
                  <c:v>Mediterraner Schmortopf</c:v>
                </c:pt>
                <c:pt idx="57">
                  <c:v>Bohnen - Speck - Rollen in Gemüsesoße</c:v>
                </c:pt>
                <c:pt idx="58">
                  <c:v>Fischtopf überbacken</c:v>
                </c:pt>
                <c:pt idx="59">
                  <c:v>Klare Suppe mit Fisch und gemischtem Gemüse</c:v>
                </c:pt>
                <c:pt idx="60">
                  <c:v>Falsche Schildkröte mit Fischklösschen</c:v>
                </c:pt>
                <c:pt idx="61">
                  <c:v>Gebackener Ziegenkäse im Speckmantel auf fruchtigem Salat mit Honig-Senf-Vinaigrette</c:v>
                </c:pt>
                <c:pt idx="62">
                  <c:v>Sommerliche Schupfnudelpfanne</c:v>
                </c:pt>
                <c:pt idx="63">
                  <c:v>Asiatisch - fränkischer Tafelspitz, Brezenkloß und Meerrettichcreme</c:v>
                </c:pt>
                <c:pt idx="64">
                  <c:v>Chicken Wrap mit Gemüse, Guacamole und Crème fraîche</c:v>
                </c:pt>
                <c:pt idx="65">
                  <c:v>Kürbis - Kokos - Suppe mit Chili</c:v>
                </c:pt>
                <c:pt idx="66">
                  <c:v>Spinat-Gemüse-Lasagne mit Tomatensoße</c:v>
                </c:pt>
                <c:pt idx="67">
                  <c:v>Kürbis-Lauch-Quiche</c:v>
                </c:pt>
                <c:pt idx="68">
                  <c:v>Bunter Nudelauflauf</c:v>
                </c:pt>
                <c:pt idx="69">
                  <c:v>Auberginenröllchen mit würziger Reisfüllung</c:v>
                </c:pt>
                <c:pt idx="70">
                  <c:v>Ragout von Hähnchenbrust, grünem Spargel und Erdbeeren mit Kürbiskernrisotto</c:v>
                </c:pt>
                <c:pt idx="71">
                  <c:v>Pizza Diavolo</c:v>
                </c:pt>
                <c:pt idx="72">
                  <c:v>Linsensalat mit Mango und Ziegenkäse</c:v>
                </c:pt>
                <c:pt idx="73">
                  <c:v>Tarte à la Ratatouille</c:v>
                </c:pt>
                <c:pt idx="74">
                  <c:v>Kräuterforelle auf mediterranem Sommergemüse</c:v>
                </c:pt>
                <c:pt idx="75">
                  <c:v>Kabeljau im Panko-Parmesan-Mantel mit Tomatennudeln</c:v>
                </c:pt>
                <c:pt idx="76">
                  <c:v>Überbackene Enchiladas mit Tzatziki</c:v>
                </c:pt>
                <c:pt idx="77">
                  <c:v>Griechische Gemüsesuppe</c:v>
                </c:pt>
                <c:pt idx="78">
                  <c:v>Paella</c:v>
                </c:pt>
                <c:pt idx="79">
                  <c:v>Mangoldstrudel</c:v>
                </c:pt>
                <c:pt idx="80">
                  <c:v>Gefüllte Pide</c:v>
                </c:pt>
                <c:pt idx="81">
                  <c:v>Hackbraten</c:v>
                </c:pt>
                <c:pt idx="82">
                  <c:v>Gurken - Schmortopf</c:v>
                </c:pt>
                <c:pt idx="83">
                  <c:v>Edelfische auf Blattspinat in Rote Bete-Sauce</c:v>
                </c:pt>
                <c:pt idx="84">
                  <c:v>Lammrücken unter der Kräuterkruste auf Artischockengemüse mit Polenta</c:v>
                </c:pt>
                <c:pt idx="85">
                  <c:v>Gemüse - Lasagne</c:v>
                </c:pt>
                <c:pt idx="86">
                  <c:v>Lachs gedämpft</c:v>
                </c:pt>
                <c:pt idx="87">
                  <c:v>Lasagne Bolognese</c:v>
                </c:pt>
                <c:pt idx="88">
                  <c:v>Schweinefilet in Schinkenmantel mit Spinat - Pilz - Mozarellafüllung in Blätterteig</c:v>
                </c:pt>
                <c:pt idx="89">
                  <c:v>Kartoffel-Kürbis Gratin alla Napolitana</c:v>
                </c:pt>
                <c:pt idx="90">
                  <c:v>Gemüse-Soufflé</c:v>
                </c:pt>
                <c:pt idx="91">
                  <c:v>Lachs im Gemüsebett</c:v>
                </c:pt>
                <c:pt idx="92">
                  <c:v>Lahmacun</c:v>
                </c:pt>
                <c:pt idx="93">
                  <c:v>Pizza-Dip</c:v>
                </c:pt>
                <c:pt idx="94">
                  <c:v>Palatschinken mit feiner Walnussfüllung</c:v>
                </c:pt>
                <c:pt idx="95">
                  <c:v>Brokkoli - Walnuss Quiche</c:v>
                </c:pt>
                <c:pt idx="96">
                  <c:v>Cannelloni mit Spinat-Tomatensoße und Lachs</c:v>
                </c:pt>
                <c:pt idx="97">
                  <c:v>Kürbisgemüse aus dem Ofen mit Kräuterquark</c:v>
                </c:pt>
                <c:pt idx="98">
                  <c:v>Blitz-Hühnerfrikassee</c:v>
                </c:pt>
                <c:pt idx="99">
                  <c:v>Rindersteak mit Käse - Sauce</c:v>
                </c:pt>
                <c:pt idx="100">
                  <c:v>Lustige Leber</c:v>
                </c:pt>
                <c:pt idx="101">
                  <c:v>Lauchcreme-Gourmetsuppe</c:v>
                </c:pt>
                <c:pt idx="102">
                  <c:v>Cannelloni mit cremiger Gemüse-Käse-Füllung</c:v>
                </c:pt>
                <c:pt idx="103">
                  <c:v>Spargel im knusprigen Hafer - Mantel</c:v>
                </c:pt>
                <c:pt idx="104">
                  <c:v>Gratinierte Forelle mit Mozzarella</c:v>
                </c:pt>
                <c:pt idx="105">
                  <c:v>Hackauflauf mit Lauchkruste</c:v>
                </c:pt>
                <c:pt idx="106">
                  <c:v>Moussaka</c:v>
                </c:pt>
                <c:pt idx="107">
                  <c:v>Spinat-Käse-Auflauf</c:v>
                </c:pt>
                <c:pt idx="108">
                  <c:v>Möhreneintopf</c:v>
                </c:pt>
                <c:pt idx="109">
                  <c:v>Chinesische Reis - Gemüse - Pfanne</c:v>
                </c:pt>
                <c:pt idx="110">
                  <c:v>Nudeln mit Butternut- oder Hokkaidokürbis</c:v>
                </c:pt>
                <c:pt idx="111">
                  <c:v>Holzhackersteak</c:v>
                </c:pt>
                <c:pt idx="112">
                  <c:v>Zucchini-Lasagne</c:v>
                </c:pt>
                <c:pt idx="113">
                  <c:v>Knusperschnitzel mit Salat</c:v>
                </c:pt>
                <c:pt idx="114">
                  <c:v>Lamm mit Mandeln, Pistazien und Berberitzen</c:v>
                </c:pt>
                <c:pt idx="115">
                  <c:v>Überbackene Koteletts</c:v>
                </c:pt>
                <c:pt idx="116">
                  <c:v>Leipziger Klopse</c:v>
                </c:pt>
                <c:pt idx="117">
                  <c:v>Pfannkuchen mit Spinat</c:v>
                </c:pt>
                <c:pt idx="118">
                  <c:v>Hähnchenschenkel mit Kartoffel - Gemüsepfanne</c:v>
                </c:pt>
                <c:pt idx="119">
                  <c:v>Schweinehals mit pikantem Lauchgemüse und Quittengeleesauce</c:v>
                </c:pt>
                <c:pt idx="120">
                  <c:v>Das große Burggeheimnis</c:v>
                </c:pt>
                <c:pt idx="121">
                  <c:v>Pappardelle di Don Vito</c:v>
                </c:pt>
                <c:pt idx="122">
                  <c:v>Heißer Cowboy Topf</c:v>
                </c:pt>
                <c:pt idx="123">
                  <c:v>Poaca - gefüllte Teigtaschen</c:v>
                </c:pt>
                <c:pt idx="124">
                  <c:v>Chili sin Carne</c:v>
                </c:pt>
                <c:pt idx="125">
                  <c:v>Mariniertes Geflügel mit Ananassalsa und Nudelsalat</c:v>
                </c:pt>
                <c:pt idx="126">
                  <c:v>Spargel mit Sauce Hollandaise, gebratenem Schweinefilet und Kartoffelgratin</c:v>
                </c:pt>
                <c:pt idx="127">
                  <c:v>Low Carb Pizzaboden aus Zucchini</c:v>
                </c:pt>
                <c:pt idx="128">
                  <c:v>Moussaka kretische Art</c:v>
                </c:pt>
                <c:pt idx="129">
                  <c:v>Brokkoli - Fenchel - Auflauf mit Kartoffeln</c:v>
                </c:pt>
                <c:pt idx="130">
                  <c:v>Deftige Chili - Gemüsesuppe</c:v>
                </c:pt>
                <c:pt idx="131">
                  <c:v>Scharfer Auberginensalat</c:v>
                </c:pt>
                <c:pt idx="132">
                  <c:v>Mediterrane Gemüsepfanne mit Hähnchenbrustfilet</c:v>
                </c:pt>
                <c:pt idx="133">
                  <c:v>Muschelnudeln mit Lachs, Spinat und Fenchel</c:v>
                </c:pt>
                <c:pt idx="134">
                  <c:v>Annas gefüllte Zucchini im Tomatenbett</c:v>
                </c:pt>
                <c:pt idx="135">
                  <c:v>Farsumagru</c:v>
                </c:pt>
                <c:pt idx="136">
                  <c:v>Schaschlik nach Andrés Art</c:v>
                </c:pt>
                <c:pt idx="137">
                  <c:v>Couscous-Salat, lecker würzig</c:v>
                </c:pt>
                <c:pt idx="138">
                  <c:v>Femüse-Geflügel-Suppe</c:v>
                </c:pt>
                <c:pt idx="139">
                  <c:v>Spinatknödel mit Gorgonzolasauce</c:v>
                </c:pt>
                <c:pt idx="140">
                  <c:v>Lasagne</c:v>
                </c:pt>
                <c:pt idx="141">
                  <c:v>Rindergulasch</c:v>
                </c:pt>
                <c:pt idx="142">
                  <c:v>Reisauflauf mit Zwetschgensoße</c:v>
                </c:pt>
                <c:pt idx="143">
                  <c:v>Gefüllte Schmorgurke in Tomatensauce</c:v>
                </c:pt>
                <c:pt idx="144">
                  <c:v>Kürbisgratin</c:v>
                </c:pt>
                <c:pt idx="145">
                  <c:v>Putenfleischknödel mit Linsenstrudel</c:v>
                </c:pt>
                <c:pt idx="146">
                  <c:v>Ungarische Gulaschsuppe</c:v>
                </c:pt>
                <c:pt idx="147">
                  <c:v>Überbackene Cannelloni mit Brokkolifüllung</c:v>
                </c:pt>
                <c:pt idx="148">
                  <c:v>Rauke - Linsen - Salat mit Lammfilet</c:v>
                </c:pt>
                <c:pt idx="149">
                  <c:v>Kohlrabilasagne</c:v>
                </c:pt>
                <c:pt idx="150">
                  <c:v>Feta-Blattspinat-Rolle mit Sesam und süß-saurem Dip</c:v>
                </c:pt>
                <c:pt idx="151">
                  <c:v>Paprikaschnitzel mit kräftiger Paprikasauce</c:v>
                </c:pt>
                <c:pt idx="152">
                  <c:v>Spargel aus dem Ofen mit Hefe-Pfannküchlein und Paprika-Vinaigrette</c:v>
                </c:pt>
                <c:pt idx="153">
                  <c:v>Griechisches Kalbsfleisch in Tomatensoße mit Nudeln</c:v>
                </c:pt>
                <c:pt idx="154">
                  <c:v>botos Bifteki mit griechischem Tomatenreis</c:v>
                </c:pt>
                <c:pt idx="155">
                  <c:v>Salat mit Honigchampignons</c:v>
                </c:pt>
                <c:pt idx="156">
                  <c:v>Yufka mit Gemüse- und Rindfleischfüllung</c:v>
                </c:pt>
                <c:pt idx="157">
                  <c:v>Rinderfilet gratiniert mit Rotkohl und Kartoffelklößen</c:v>
                </c:pt>
                <c:pt idx="158">
                  <c:v>Bouillabaisse mit Sauce Rouille und Baguette</c:v>
                </c:pt>
                <c:pt idx="159">
                  <c:v>Rigatoni mit Hähnchen in Senf - Sahne - Sauce</c:v>
                </c:pt>
                <c:pt idx="160">
                  <c:v>Linsen-Gemüse-Kartoffel-Topf mit Putenfleisch</c:v>
                </c:pt>
                <c:pt idx="161">
                  <c:v>Hähncheneintopf à la Eddie</c:v>
                </c:pt>
                <c:pt idx="162">
                  <c:v>Nudelauflauf Winterzauber</c:v>
                </c:pt>
                <c:pt idx="163">
                  <c:v>Überbackene Koteletts</c:v>
                </c:pt>
                <c:pt idx="164">
                  <c:v>Kabeljau im Gemüsesud und Schnittlauchbutter</c:v>
                </c:pt>
                <c:pt idx="165">
                  <c:v>Gratinierter Gemüseauflauf</c:v>
                </c:pt>
                <c:pt idx="166">
                  <c:v>Gemüse aus dem Backofen</c:v>
                </c:pt>
                <c:pt idx="167">
                  <c:v>Hähnchen - Schauwarma</c:v>
                </c:pt>
                <c:pt idx="168">
                  <c:v>Hähnchencurry mit Süßkartoffeln</c:v>
                </c:pt>
                <c:pt idx="169">
                  <c:v>Kräuter - Käse - Klops</c:v>
                </c:pt>
                <c:pt idx="170">
                  <c:v>Kabeljaufilet unter Kartoffelschuppen</c:v>
                </c:pt>
                <c:pt idx="171">
                  <c:v>Gemüsespiralen-Tarte</c:v>
                </c:pt>
                <c:pt idx="172">
                  <c:v>Gefüllter Hokkaidokürbis</c:v>
                </c:pt>
                <c:pt idx="173">
                  <c:v>Tanja's Djuvec - Hähnchenpfanne</c:v>
                </c:pt>
                <c:pt idx="174">
                  <c:v>Rindersteaks auf italienisch</c:v>
                </c:pt>
                <c:pt idx="175">
                  <c:v>Surhaxe mit Sauerkraut oder Erbsmus</c:v>
                </c:pt>
                <c:pt idx="176">
                  <c:v>Hähnchen - Mango - Curry</c:v>
                </c:pt>
                <c:pt idx="177">
                  <c:v>Vegane Curry-Linsen-Bowl mit Röst-Karotten und Petersilien-Dip</c:v>
                </c:pt>
                <c:pt idx="178">
                  <c:v>Makhani Hähnchen</c:v>
                </c:pt>
                <c:pt idx="179">
                  <c:v>Hackfleisch-Picadillo</c:v>
                </c:pt>
                <c:pt idx="180">
                  <c:v>Linseneintopf kanarische Art</c:v>
                </c:pt>
                <c:pt idx="181">
                  <c:v>Putenschnitzel Italia mit klassischem Tomaten - Mozzarella - Salat</c:v>
                </c:pt>
                <c:pt idx="182">
                  <c:v>Asia-Pfanne süß-sauer</c:v>
                </c:pt>
                <c:pt idx="183">
                  <c:v>Tafelspitz mit Polenta-Nocken</c:v>
                </c:pt>
                <c:pt idx="184">
                  <c:v>Gemüse-Pizza</c:v>
                </c:pt>
                <c:pt idx="185">
                  <c:v>Spaghetti Bolognese nach Toskana Art</c:v>
                </c:pt>
                <c:pt idx="186">
                  <c:v>Backofengeheimnis</c:v>
                </c:pt>
                <c:pt idx="187">
                  <c:v>Rosenkohl-Curry</c:v>
                </c:pt>
                <c:pt idx="188">
                  <c:v>Linsen-Hackfleisch-Kuchen</c:v>
                </c:pt>
                <c:pt idx="189">
                  <c:v>Grisous leichte Tarte à la moutarde</c:v>
                </c:pt>
                <c:pt idx="190">
                  <c:v>Griechische Gemüsesuppe</c:v>
                </c:pt>
                <c:pt idx="191">
                  <c:v>Orientalischer Hackbraten</c:v>
                </c:pt>
                <c:pt idx="192">
                  <c:v>Ungarischer Nudelsalat</c:v>
                </c:pt>
                <c:pt idx="193">
                  <c:v>Spargelplatte mit Putenschnitzel im Speckmantel</c:v>
                </c:pt>
                <c:pt idx="194">
                  <c:v>Mexikanisches Hähnchen</c:v>
                </c:pt>
                <c:pt idx="195">
                  <c:v>Gebackener Feta auf gemischtem Salat mit Honigdressing</c:v>
                </c:pt>
                <c:pt idx="196">
                  <c:v>Zwiebelkuchen, schwäbischer</c:v>
                </c:pt>
                <c:pt idx="197">
                  <c:v>Zitronen-Schnitzel mit Parmesanpanade</c:v>
                </c:pt>
                <c:pt idx="198">
                  <c:v>Ossobuco à la Annette im Römertopf</c:v>
                </c:pt>
                <c:pt idx="199">
                  <c:v>Hähnchen-Reis-Pfanne</c:v>
                </c:pt>
                <c:pt idx="200">
                  <c:v>Matjessalat mit Rindfleisch</c:v>
                </c:pt>
                <c:pt idx="201">
                  <c:v>Chili con Carne à la Benjo</c:v>
                </c:pt>
                <c:pt idx="202">
                  <c:v>Hähnchen Frikassee</c:v>
                </c:pt>
                <c:pt idx="203">
                  <c:v>Cremiger Nudelauflauf mit Tomaten und Mozzarella</c:v>
                </c:pt>
                <c:pt idx="204">
                  <c:v>Gurkensuppe</c:v>
                </c:pt>
                <c:pt idx="205">
                  <c:v>Kartoffelkuchen mit Lamm und Gemüse</c:v>
                </c:pt>
                <c:pt idx="206">
                  <c:v>Gefüllte Paprika</c:v>
                </c:pt>
                <c:pt idx="207">
                  <c:v>Friedhelms Jägerpfannkuchen</c:v>
                </c:pt>
                <c:pt idx="208">
                  <c:v>Bier-Senf-Geschnetzeltes</c:v>
                </c:pt>
                <c:pt idx="209">
                  <c:v>Kartoffelgulasch</c:v>
                </c:pt>
                <c:pt idx="210">
                  <c:v>Provenzalische Schnitzel</c:v>
                </c:pt>
                <c:pt idx="211">
                  <c:v>Lachsforelle auf Gemüsebett 'sous vide' mit Süßkartoffelpüree</c:v>
                </c:pt>
                <c:pt idx="212">
                  <c:v>Lammkeule in Olivenjus mit Herzoginkartoffeln und karamellisiertem Chicoree</c:v>
                </c:pt>
                <c:pt idx="213">
                  <c:v>Römischer Mangoldfisch mit Rosmarinkartoffeln</c:v>
                </c:pt>
                <c:pt idx="214">
                  <c:v>Tomaten - Mozzarella - Steaks</c:v>
                </c:pt>
                <c:pt idx="215">
                  <c:v>Couscous mit Hähnchen, Gemüse und Champignons</c:v>
                </c:pt>
                <c:pt idx="216">
                  <c:v>Zottels Chili con Carne-Auflauf</c:v>
                </c:pt>
                <c:pt idx="217">
                  <c:v>Spargelgemüse mit Mettbällchen</c:v>
                </c:pt>
                <c:pt idx="218">
                  <c:v>Ravioli mit Puten-Tomaten Füllung</c:v>
                </c:pt>
                <c:pt idx="219">
                  <c:v>Burritos</c:v>
                </c:pt>
                <c:pt idx="220">
                  <c:v>Kichererbsensuppe mit Süßkartoffeln und Paprikawurst</c:v>
                </c:pt>
                <c:pt idx="221">
                  <c:v>Rotbarschfilet mit Erdnusspanade und Pilzgemüse</c:v>
                </c:pt>
                <c:pt idx="222">
                  <c:v>Vegetarische Lasagne mit Auberginen</c:v>
                </c:pt>
                <c:pt idx="223">
                  <c:v>Mexikanischer Tomatenauflauf</c:v>
                </c:pt>
                <c:pt idx="224">
                  <c:v>Huhn nach Kap Malayischer Art</c:v>
                </c:pt>
                <c:pt idx="225">
                  <c:v>Reistopf mit Hähnchen und Erbsen</c:v>
                </c:pt>
                <c:pt idx="226">
                  <c:v>Makkaroni - Kuchen</c:v>
                </c:pt>
                <c:pt idx="227">
                  <c:v>Spargel überbacken, mit Tomate und Spinat</c:v>
                </c:pt>
                <c:pt idx="228">
                  <c:v>Schneller Stroganoff mit süß - sauren Backkartoffeln</c:v>
                </c:pt>
                <c:pt idx="229">
                  <c:v>Pflaumen-Tofu-Ravioli in Kürbis-Rote Bete-Sauce, vegan</c:v>
                </c:pt>
                <c:pt idx="230">
                  <c:v>Einfache Paella mit Chorizo und Hähnchenkeulen</c:v>
                </c:pt>
                <c:pt idx="231">
                  <c:v>English Chicken Pie</c:v>
                </c:pt>
                <c:pt idx="232">
                  <c:v>Hackfleisch - Gemüse - Auflauf mit Reis</c:v>
                </c:pt>
                <c:pt idx="233">
                  <c:v>Bäuerinnensuppe</c:v>
                </c:pt>
                <c:pt idx="234">
                  <c:v>Fischlasagne</c:v>
                </c:pt>
                <c:pt idx="235">
                  <c:v>Manti mit Joghurtsauce und Paprikabutter</c:v>
                </c:pt>
                <c:pt idx="236">
                  <c:v>Brillas Kürbiseintopf</c:v>
                </c:pt>
                <c:pt idx="237">
                  <c:v>Backofen - Fisch</c:v>
                </c:pt>
                <c:pt idx="238">
                  <c:v>Brokkolireis mit Käsehaube</c:v>
                </c:pt>
                <c:pt idx="239">
                  <c:v>Involtini von der Pute auf Blattspinat mit Polentaschnitte und Tomatensauce</c:v>
                </c:pt>
                <c:pt idx="240">
                  <c:v>Vegetarische Cevapcici für den Grill</c:v>
                </c:pt>
                <c:pt idx="241">
                  <c:v>Zucchini – Piccata auf Tomatenkompott mit Rucolapesto und Nudeln</c:v>
                </c:pt>
                <c:pt idx="242">
                  <c:v>Italienischer Herbsteintopf</c:v>
                </c:pt>
                <c:pt idx="243">
                  <c:v>Hähnchen-Gemüse-Pfanne</c:v>
                </c:pt>
                <c:pt idx="244">
                  <c:v>Hähnchen - Piccata mit Tomatensoße</c:v>
                </c:pt>
                <c:pt idx="245">
                  <c:v>Orientalischer Zimt-Hackfleischtopf</c:v>
                </c:pt>
                <c:pt idx="246">
                  <c:v>Bunter Kürbis - Kartoffel - Auflauf</c:v>
                </c:pt>
                <c:pt idx="247">
                  <c:v>Marinierter Lachs an Ratatouillesalat mit Rucolapesto und Brot</c:v>
                </c:pt>
                <c:pt idx="248">
                  <c:v>Cremesuppe aus gelben Paprikaschoten</c:v>
                </c:pt>
                <c:pt idx="249">
                  <c:v>Galloway im Kürbisfeld</c:v>
                </c:pt>
                <c:pt idx="250">
                  <c:v>Gemüsekuchen</c:v>
                </c:pt>
                <c:pt idx="251">
                  <c:v>Spargel auf Kartoffelpuffer</c:v>
                </c:pt>
                <c:pt idx="252">
                  <c:v>Paniertes Kalbssteak auf spanische Art</c:v>
                </c:pt>
                <c:pt idx="253">
                  <c:v>Mini-Party-Quiches</c:v>
                </c:pt>
                <c:pt idx="254">
                  <c:v>Vegetarisches Gemüsecurry</c:v>
                </c:pt>
                <c:pt idx="255">
                  <c:v>Feurig scharfe Zucchinisuppe mit Hackbällchen</c:v>
                </c:pt>
                <c:pt idx="256">
                  <c:v>Wiener Schnitzel mit Spargel</c:v>
                </c:pt>
                <c:pt idx="257">
                  <c:v>Bulgur Buddha Bowl</c:v>
                </c:pt>
                <c:pt idx="258">
                  <c:v>Gemüseauflauf aus dem Terracotta Topf</c:v>
                </c:pt>
                <c:pt idx="259">
                  <c:v>Chilibällchen mit Fetakäse und Paprikagemüse</c:v>
                </c:pt>
                <c:pt idx="260">
                  <c:v>Karibischer Schweinebraten</c:v>
                </c:pt>
                <c:pt idx="261">
                  <c:v>Böhmischer Kartoffelsalat</c:v>
                </c:pt>
                <c:pt idx="262">
                  <c:v>Kichererbsen-Oliven-Salat</c:v>
                </c:pt>
                <c:pt idx="263">
                  <c:v>Ungarische gefüllte Kohlrouladen</c:v>
                </c:pt>
                <c:pt idx="264">
                  <c:v>Kürbistortellini weihnachtlich gewürzt</c:v>
                </c:pt>
                <c:pt idx="265">
                  <c:v>Mexikanische Gemüsesuppe</c:v>
                </c:pt>
                <c:pt idx="266">
                  <c:v>Sächsischer Herings-Kartoffelsalat</c:v>
                </c:pt>
                <c:pt idx="267">
                  <c:v>Mediterrane Kartoffelpfanne</c:v>
                </c:pt>
                <c:pt idx="268">
                  <c:v>Österreichischer Kaiserschmarrn</c:v>
                </c:pt>
                <c:pt idx="269">
                  <c:v>Nudeln mit Belugalinsen</c:v>
                </c:pt>
                <c:pt idx="270">
                  <c:v>Mecklenburger Bunte Katze mit Karottensalat</c:v>
                </c:pt>
                <c:pt idx="271">
                  <c:v>Steckerlfisch mit Kartoffel - Zuccini - Paprika - Gemüse</c:v>
                </c:pt>
                <c:pt idx="272">
                  <c:v>Fischsuppe</c:v>
                </c:pt>
                <c:pt idx="273">
                  <c:v>Chili - Gulasch</c:v>
                </c:pt>
                <c:pt idx="274">
                  <c:v>Blumenkohlauflauf mit Hackbällchen</c:v>
                </c:pt>
                <c:pt idx="275">
                  <c:v>Nomadenmahl</c:v>
                </c:pt>
                <c:pt idx="276">
                  <c:v>Arabische Kichererbsen-Spinat Suppe</c:v>
                </c:pt>
                <c:pt idx="277">
                  <c:v>Pastinakenbratlinge mit Wirsingpüree</c:v>
                </c:pt>
                <c:pt idx="278">
                  <c:v>Chinesische Nudelpfanne</c:v>
                </c:pt>
                <c:pt idx="279">
                  <c:v>Hasenrücken mit Apfelsoße</c:v>
                </c:pt>
                <c:pt idx="280">
                  <c:v>Zucchini - Tomatensauce</c:v>
                </c:pt>
                <c:pt idx="281">
                  <c:v>Champignon - Nudel - Muffins</c:v>
                </c:pt>
                <c:pt idx="282">
                  <c:v>Nudel - Tortilla</c:v>
                </c:pt>
                <c:pt idx="283">
                  <c:v>Blätterteig - Pie mit Hackfleisch - Spinat Füllung</c:v>
                </c:pt>
                <c:pt idx="284">
                  <c:v>Wachtel mit Spargel</c:v>
                </c:pt>
                <c:pt idx="285">
                  <c:v>Leichter Kochfisch mit Senfgemüse</c:v>
                </c:pt>
                <c:pt idx="286">
                  <c:v>Kalbsgeschnetzeltes Bombay</c:v>
                </c:pt>
                <c:pt idx="287">
                  <c:v>Tortellinisalat italienische Art</c:v>
                </c:pt>
                <c:pt idx="288">
                  <c:v>Blumenkohl - Gratin mit Sesam</c:v>
                </c:pt>
                <c:pt idx="289">
                  <c:v>Gemüseschnecken mit Lauchsoße</c:v>
                </c:pt>
                <c:pt idx="290">
                  <c:v>Ossobuco mit Röstgemüse</c:v>
                </c:pt>
                <c:pt idx="291">
                  <c:v>Chefkoch Kirsch-BBQ-Burger</c:v>
                </c:pt>
                <c:pt idx="292">
                  <c:v>Auberginen - Kartoffel - Auflauf mit Hackfleisch</c:v>
                </c:pt>
                <c:pt idx="293">
                  <c:v>Tansanische Fischpfanne mit Spinat</c:v>
                </c:pt>
                <c:pt idx="294">
                  <c:v>Tatarfrikadellen mit buntem Gemüse und Röstkartoffeln</c:v>
                </c:pt>
                <c:pt idx="295">
                  <c:v>Räuberfleisch</c:v>
                </c:pt>
                <c:pt idx="296">
                  <c:v>Mexikanische Enchilada-Lasagne</c:v>
                </c:pt>
                <c:pt idx="297">
                  <c:v>Schaschlik vegetarisch</c:v>
                </c:pt>
                <c:pt idx="298">
                  <c:v>Süßkartoffel-Curry</c:v>
                </c:pt>
                <c:pt idx="299">
                  <c:v>Kartoffel-Gemüsetortilla mit Kräuterquark</c:v>
                </c:pt>
                <c:pt idx="300">
                  <c:v>Jungfern - Braten</c:v>
                </c:pt>
                <c:pt idx="301">
                  <c:v>Putenspieße auf Tomatenreis</c:v>
                </c:pt>
                <c:pt idx="302">
                  <c:v>Sommernachts - Lachsfilet</c:v>
                </c:pt>
                <c:pt idx="303">
                  <c:v>Forelle im Salzteig</c:v>
                </c:pt>
                <c:pt idx="304">
                  <c:v>Bunter Erdäpfelsalat mit Frankfurter</c:v>
                </c:pt>
                <c:pt idx="305">
                  <c:v>Manti - Türkische Tortellini</c:v>
                </c:pt>
                <c:pt idx="306">
                  <c:v>Kartoffel - Zucchini - Porree - Auflauf mit Hack</c:v>
                </c:pt>
                <c:pt idx="307">
                  <c:v>Avocado-Mango-Salat mit Hähnchen</c:v>
                </c:pt>
                <c:pt idx="308">
                  <c:v>Süßer Topfen - Reis - Auflauf</c:v>
                </c:pt>
                <c:pt idx="309">
                  <c:v>Kürbis, Kartoffeln und Hähnchenschenkel aus dem Backofen</c:v>
                </c:pt>
                <c:pt idx="310">
                  <c:v>Gnocchi mit Avocado-Basilikum-Pesto</c:v>
                </c:pt>
                <c:pt idx="311">
                  <c:v>Nasi Goreng</c:v>
                </c:pt>
                <c:pt idx="312">
                  <c:v>Wildschweinrücken in Adventsgewürzen mit Kartoffelknödel in Rotkohl-Preiselbeermantel</c:v>
                </c:pt>
                <c:pt idx="313">
                  <c:v>Seezungen mit Erdbeerchutney</c:v>
                </c:pt>
                <c:pt idx="314">
                  <c:v>Schinkennudeln mit Gemüse</c:v>
                </c:pt>
                <c:pt idx="315">
                  <c:v>Gulaschsuppe à la Tick</c:v>
                </c:pt>
                <c:pt idx="316">
                  <c:v>Vegetarisches Frühlingspfännchen mit Feta-Käse</c:v>
                </c:pt>
                <c:pt idx="317">
                  <c:v>Spaghetti mit Gemüse-Bolognese</c:v>
                </c:pt>
                <c:pt idx="318">
                  <c:v>Kürbisauflauf mit Hackfleisch</c:v>
                </c:pt>
                <c:pt idx="319">
                  <c:v>Karpfen in Mandelkruste</c:v>
                </c:pt>
                <c:pt idx="320">
                  <c:v>Nudeln mit Lachs, Spinat und Ziegenkäse</c:v>
                </c:pt>
                <c:pt idx="321">
                  <c:v>Fencheleintopf mit Parmesankartoffeln</c:v>
                </c:pt>
                <c:pt idx="322">
                  <c:v>Echte Gulaschsuppe</c:v>
                </c:pt>
                <c:pt idx="323">
                  <c:v>Nudelsalat mediterran</c:v>
                </c:pt>
                <c:pt idx="324">
                  <c:v>Portugiesische Fischpfanne</c:v>
                </c:pt>
                <c:pt idx="325">
                  <c:v>Bunter Nudeltopf</c:v>
                </c:pt>
                <c:pt idx="326">
                  <c:v>Spinat-Quark Lasagne</c:v>
                </c:pt>
                <c:pt idx="327">
                  <c:v>Forellen auf Fenchel-Tomaten Gemüse</c:v>
                </c:pt>
                <c:pt idx="328">
                  <c:v>Gefüllte Paprika mit Hackfleisch und Reis</c:v>
                </c:pt>
                <c:pt idx="329">
                  <c:v>Reef and Beef</c:v>
                </c:pt>
                <c:pt idx="330">
                  <c:v>Soljanka nach Mama Art</c:v>
                </c:pt>
                <c:pt idx="331">
                  <c:v>Lammlachse mit Kräuterkruste auf einer Bohnentrilogie und Kartoffel-Kresse-Püree</c:v>
                </c:pt>
                <c:pt idx="332">
                  <c:v>Hühnchen mit Bacon-Alfredo-Füllung</c:v>
                </c:pt>
                <c:pt idx="333">
                  <c:v>Schafhirten - Pie</c:v>
                </c:pt>
                <c:pt idx="334">
                  <c:v>Puszta-Suppe mit Mettbällchen und Sauerkraut</c:v>
                </c:pt>
                <c:pt idx="335">
                  <c:v>Auflauf mit Buttergemüse, Rosenkohl und Mettenden</c:v>
                </c:pt>
                <c:pt idx="336">
                  <c:v>Pikanter Kartoffelsalat mit Nusskernen</c:v>
                </c:pt>
                <c:pt idx="337">
                  <c:v>Finnische Hackfleischbällchen</c:v>
                </c:pt>
                <c:pt idx="338">
                  <c:v>Hähnchen-Ananas-Curry mit Reis</c:v>
                </c:pt>
                <c:pt idx="339">
                  <c:v>Hackfleischtopf mit Sommergemüse</c:v>
                </c:pt>
                <c:pt idx="340">
                  <c:v>Khoreshe Albaloo</c:v>
                </c:pt>
                <c:pt idx="341">
                  <c:v>Steckrübeneintopf mit Gremolata</c:v>
                </c:pt>
                <c:pt idx="342">
                  <c:v>Thai Curry</c:v>
                </c:pt>
                <c:pt idx="343">
                  <c:v>Rheinischer Heringssalat</c:v>
                </c:pt>
                <c:pt idx="344">
                  <c:v>Hähnchen in Honig-Sesam Sauce und Gemüse</c:v>
                </c:pt>
                <c:pt idx="345">
                  <c:v>Grüne Bohnensuppe auf ungarische Art</c:v>
                </c:pt>
                <c:pt idx="346">
                  <c:v>Koteletts im mediterranem Gemüsebett</c:v>
                </c:pt>
                <c:pt idx="347">
                  <c:v>Gulasch vom Reh</c:v>
                </c:pt>
                <c:pt idx="348">
                  <c:v>Schweinemedaillons in Pfefferrahmsauce</c:v>
                </c:pt>
                <c:pt idx="349">
                  <c:v>Pikante Gyrossuppe</c:v>
                </c:pt>
                <c:pt idx="350">
                  <c:v>Frittata</c:v>
                </c:pt>
                <c:pt idx="351">
                  <c:v>Makkaroni in Tomatensahnesoße</c:v>
                </c:pt>
                <c:pt idx="352">
                  <c:v>Maiscremesuppe mit Bacon</c:v>
                </c:pt>
                <c:pt idx="353">
                  <c:v>Nudeln in Schinken-Pilz-Soße</c:v>
                </c:pt>
                <c:pt idx="354">
                  <c:v>Crespelle alla Bolognese</c:v>
                </c:pt>
                <c:pt idx="355">
                  <c:v>Leber in Tomaten-Zwiebelsauce</c:v>
                </c:pt>
                <c:pt idx="356">
                  <c:v>Gemüsepfanne</c:v>
                </c:pt>
                <c:pt idx="357">
                  <c:v>Fisolenrostbraten mit bunter Semmelknödeltorte</c:v>
                </c:pt>
                <c:pt idx="358">
                  <c:v>Bärlauch - Pizza mit Salami</c:v>
                </c:pt>
                <c:pt idx="359">
                  <c:v>Feurige Hühnerbeinchen</c:v>
                </c:pt>
                <c:pt idx="360">
                  <c:v>Gratin mit Kohlrabi und Hackfleisch</c:v>
                </c:pt>
                <c:pt idx="361">
                  <c:v>Steckrübentaler auf Gemüse mit Sanddornrahm</c:v>
                </c:pt>
                <c:pt idx="362">
                  <c:v>Gefüllte Cannelloni mit Schinken Käse</c:v>
                </c:pt>
                <c:pt idx="363">
                  <c:v>Spinat-Crespelle mit Schinken und Tomaten</c:v>
                </c:pt>
                <c:pt idx="364">
                  <c:v>Hähnchenbruststreifen mit Pflaumen-Schoko Sauce</c:v>
                </c:pt>
                <c:pt idx="365">
                  <c:v>Bärlauch - Pfannkuchen mit Spargel - Schinkenfüllung</c:v>
                </c:pt>
                <c:pt idx="366">
                  <c:v>Buntes Chili con carne</c:v>
                </c:pt>
                <c:pt idx="367">
                  <c:v>Ungarische Paprikanudeln</c:v>
                </c:pt>
                <c:pt idx="368">
                  <c:v>Kaninchen mit Nudeln</c:v>
                </c:pt>
                <c:pt idx="369">
                  <c:v>Gefülltes Gemüse</c:v>
                </c:pt>
                <c:pt idx="370">
                  <c:v>Marinierter Schweinerücken</c:v>
                </c:pt>
                <c:pt idx="371">
                  <c:v>Forellensalat mit Dillkartoffeln</c:v>
                </c:pt>
                <c:pt idx="372">
                  <c:v>Mittelalterliche Lutherpfanne</c:v>
                </c:pt>
                <c:pt idx="373">
                  <c:v>Arroz à la Cubanais</c:v>
                </c:pt>
                <c:pt idx="374">
                  <c:v>Fisch - Cazuela</c:v>
                </c:pt>
                <c:pt idx="375">
                  <c:v>Geschmorter Tafelspitz vom Kalb</c:v>
                </c:pt>
                <c:pt idx="376">
                  <c:v>Pasta mit Auberginen-Zucchini-Sugo</c:v>
                </c:pt>
                <c:pt idx="377">
                  <c:v>Feines Rindsfrikassee mit Spargel und Champignons</c:v>
                </c:pt>
                <c:pt idx="378">
                  <c:v>Grünkernauflauf mit Gemüse</c:v>
                </c:pt>
                <c:pt idx="379">
                  <c:v>Gemüse - Lasagne</c:v>
                </c:pt>
                <c:pt idx="380">
                  <c:v>Lachsfilet mit Nüssen auf Kürbis - Minze - Püree</c:v>
                </c:pt>
                <c:pt idx="381">
                  <c:v>Vegetarische Gemüse - Pilz - Cannelloni</c:v>
                </c:pt>
                <c:pt idx="382">
                  <c:v>Gefülltes Hähnchenbrustfilet auf Sommersalat mit Quinoa</c:v>
                </c:pt>
                <c:pt idx="383">
                  <c:v>Marinierter Tofu auf Linsensalat</c:v>
                </c:pt>
                <c:pt idx="384">
                  <c:v>Hähnchen süßsauer wie im Chinarestaurant</c:v>
                </c:pt>
                <c:pt idx="385">
                  <c:v>Türkischer grüne Bohnentopf</c:v>
                </c:pt>
                <c:pt idx="386">
                  <c:v>Hähnchenspieß mit Speckbananen</c:v>
                </c:pt>
                <c:pt idx="387">
                  <c:v>Würzig gefüllte Pita-Brote</c:v>
                </c:pt>
                <c:pt idx="388">
                  <c:v>Putengeschnetzeltes mit Karotten-Orangen-Soße</c:v>
                </c:pt>
                <c:pt idx="389">
                  <c:v>Japanische Nudelsuppe mit Hühnerbrühe und Schweinefilet-Ramen</c:v>
                </c:pt>
                <c:pt idx="390">
                  <c:v>Lammkotelettes auf Tomatenreis</c:v>
                </c:pt>
                <c:pt idx="391">
                  <c:v>Fisch mit Lauch und Tomaten auf Linsenbett</c:v>
                </c:pt>
                <c:pt idx="392">
                  <c:v>Original Odenwälder Hexenpfännchen</c:v>
                </c:pt>
                <c:pt idx="393">
                  <c:v>Teigtaschen mit Hackfleisch</c:v>
                </c:pt>
                <c:pt idx="394">
                  <c:v>SABO - Spaghetti mit Huhn und Gorgonzola</c:v>
                </c:pt>
                <c:pt idx="395">
                  <c:v>Pikanter Wirsingkohlauflauf</c:v>
                </c:pt>
                <c:pt idx="396">
                  <c:v>Asiatische Nudelpfanne</c:v>
                </c:pt>
                <c:pt idx="397">
                  <c:v>Texas Jailhouse Chili</c:v>
                </c:pt>
                <c:pt idx="398">
                  <c:v>Falscher Hase mit glacierten Möhren und Spätzle</c:v>
                </c:pt>
                <c:pt idx="399">
                  <c:v>Bratwurst - Puffer</c:v>
                </c:pt>
                <c:pt idx="400">
                  <c:v>Mandel - Geflügelsalat</c:v>
                </c:pt>
                <c:pt idx="401">
                  <c:v>Gebratene Nudeln mit Entenbrust</c:v>
                </c:pt>
                <c:pt idx="402">
                  <c:v>Gefüllte Entenkeule mit grünem Selleriepüree und Rotkohl</c:v>
                </c:pt>
                <c:pt idx="403">
                  <c:v>Spargel auf Eierkuchen mit Schinken und weißer Sauce mit Gorgonzola</c:v>
                </c:pt>
                <c:pt idx="404">
                  <c:v>Pizza Low Carb</c:v>
                </c:pt>
                <c:pt idx="405">
                  <c:v>Nizzaer Salat</c:v>
                </c:pt>
                <c:pt idx="406">
                  <c:v>Soja-Lauch-Torte mit Nüssen</c:v>
                </c:pt>
                <c:pt idx="407">
                  <c:v>Bolognese vegan</c:v>
                </c:pt>
                <c:pt idx="408">
                  <c:v>Babooti mit Lamm und Aprikosen</c:v>
                </c:pt>
                <c:pt idx="409">
                  <c:v>Butter mit Honig cremig rühren. Eier und das Vanillemark einrühren. Beide Mehlsorten mit Backpulver mischen. Die Mischung in die Eiermasse einrühren</c:v>
                </c:pt>
                <c:pt idx="410">
                  <c:v>Kürbis-Flammkuchen</c:v>
                </c:pt>
                <c:pt idx="411">
                  <c:v>Blaubeersuppe mit Grießklößchen</c:v>
                </c:pt>
                <c:pt idx="412">
                  <c:v>Blaubeerenauflauf</c:v>
                </c:pt>
                <c:pt idx="413">
                  <c:v>Blaubeerauflauf</c:v>
                </c:pt>
                <c:pt idx="414">
                  <c:v>Rehfilet in Vanille-Blume und Blaubeersauce mit Pfifferlingsknödeln</c:v>
                </c:pt>
                <c:pt idx="415">
                  <c:v>Lamm auf maurische Art</c:v>
                </c:pt>
                <c:pt idx="416">
                  <c:v>Heringsfilets auf Lauchzwiebeln und Tomaten</c:v>
                </c:pt>
                <c:pt idx="417">
                  <c:v>Rotkohl - Borschtsch mit Feigen</c:v>
                </c:pt>
                <c:pt idx="418">
                  <c:v>Fasanenbrust auf Zuckerschotenstroh mit Graupenrisotto an reduziertem Wildvogelfond</c:v>
                </c:pt>
                <c:pt idx="419">
                  <c:v>Staudensellerie-Möhren-Rosinenpfanne</c:v>
                </c:pt>
                <c:pt idx="420">
                  <c:v>Schweinefilet mit Feigen</c:v>
                </c:pt>
                <c:pt idx="421">
                  <c:v>Zanderfilet auf bayrisch Rahmkraut</c:v>
                </c:pt>
                <c:pt idx="422">
                  <c:v>Rahmbuchteln mit Kirschen</c:v>
                </c:pt>
                <c:pt idx="423">
                  <c:v>Kirschenmichel</c:v>
                </c:pt>
                <c:pt idx="424">
                  <c:v>Rehkeule mit Printensauce</c:v>
                </c:pt>
                <c:pt idx="425">
                  <c:v>Süße Lasagne</c:v>
                </c:pt>
                <c:pt idx="426">
                  <c:v>Warnemünder Heringssalat</c:v>
                </c:pt>
                <c:pt idx="427">
                  <c:v>Fruchtiger Nudelsalat</c:v>
                </c:pt>
                <c:pt idx="428">
                  <c:v>Putenschnitzel mit fruchtigem Reis - Curry</c:v>
                </c:pt>
                <c:pt idx="429">
                  <c:v>Indischer Gemüsereis mit Mandarinen</c:v>
                </c:pt>
                <c:pt idx="430">
                  <c:v>Ausgebackener Fisch mit süß - saurer Sauce</c:v>
                </c:pt>
                <c:pt idx="431">
                  <c:v>Wassermelonen-Gazpacho</c:v>
                </c:pt>
                <c:pt idx="432">
                  <c:v>Melonen-Gurken-Salat mit Minze und gerösteten Walnüssen</c:v>
                </c:pt>
                <c:pt idx="433">
                  <c:v>Melonen - Schafskäse Salatschiffche</c:v>
                </c:pt>
                <c:pt idx="434">
                  <c:v>Spanische Honigmelonensuppe</c:v>
                </c:pt>
                <c:pt idx="435">
                  <c:v>Zwetschgen - Rohrnudeln</c:v>
                </c:pt>
                <c:pt idx="436">
                  <c:v>Spätzli Tropical</c:v>
                </c:pt>
                <c:pt idx="437">
                  <c:v>Kabeljau mit Roter Bete</c:v>
                </c:pt>
                <c:pt idx="438">
                  <c:v>Winterlicher Maultaschensalat</c:v>
                </c:pt>
                <c:pt idx="439">
                  <c:v>Gewürz - Entenschlegel mit Steckrübenpüree</c:v>
                </c:pt>
                <c:pt idx="440">
                  <c:v>Schwalbennester mit zartem Gemüse</c:v>
                </c:pt>
                <c:pt idx="441">
                  <c:v>Rotkrautwickel aus dem Backofen</c:v>
                </c:pt>
                <c:pt idx="442">
                  <c:v>Gebratener Reis mit Hühnchen</c:v>
                </c:pt>
                <c:pt idx="443">
                  <c:v>Grießbrei mit Getreidesprossen</c:v>
                </c:pt>
                <c:pt idx="444">
                  <c:v>Spargel mit Poulet in Kokossauce</c:v>
                </c:pt>
                <c:pt idx="445">
                  <c:v>Chinakohlpfanne mit Bandnudeln</c:v>
                </c:pt>
              </c:strCache>
            </c:strRef>
          </c:xVal>
          <c:yVal>
            <c:numRef>
              <c:f>Rezept_Daten!$G$3:$G$448</c:f>
              <c:numCache>
                <c:formatCode>General</c:formatCode>
                <c:ptCount val="446"/>
                <c:pt idx="0" formatCode="#,##0">
                  <c:v>105</c:v>
                </c:pt>
                <c:pt idx="1">
                  <c:v>280</c:v>
                </c:pt>
                <c:pt idx="2" formatCode="#,##0">
                  <c:v>56</c:v>
                </c:pt>
                <c:pt idx="3">
                  <c:v>77</c:v>
                </c:pt>
                <c:pt idx="4">
                  <c:v>414</c:v>
                </c:pt>
                <c:pt idx="5">
                  <c:v>505</c:v>
                </c:pt>
                <c:pt idx="6" formatCode="#,##0">
                  <c:v>153</c:v>
                </c:pt>
                <c:pt idx="7" formatCode="#,##0">
                  <c:v>101</c:v>
                </c:pt>
                <c:pt idx="8" formatCode="#,##0">
                  <c:v>100</c:v>
                </c:pt>
                <c:pt idx="9" formatCode="#,##0">
                  <c:v>382</c:v>
                </c:pt>
                <c:pt idx="10">
                  <c:v>36</c:v>
                </c:pt>
                <c:pt idx="11">
                  <c:v>344</c:v>
                </c:pt>
                <c:pt idx="12">
                  <c:v>178</c:v>
                </c:pt>
                <c:pt idx="13">
                  <c:v>152</c:v>
                </c:pt>
                <c:pt idx="14">
                  <c:v>52</c:v>
                </c:pt>
                <c:pt idx="15">
                  <c:v>60</c:v>
                </c:pt>
                <c:pt idx="16">
                  <c:v>421</c:v>
                </c:pt>
                <c:pt idx="17">
                  <c:v>234</c:v>
                </c:pt>
                <c:pt idx="18">
                  <c:v>329</c:v>
                </c:pt>
                <c:pt idx="19">
                  <c:v>920</c:v>
                </c:pt>
                <c:pt idx="20">
                  <c:v>74</c:v>
                </c:pt>
                <c:pt idx="21">
                  <c:v>280</c:v>
                </c:pt>
                <c:pt idx="22">
                  <c:v>92</c:v>
                </c:pt>
                <c:pt idx="23">
                  <c:v>54</c:v>
                </c:pt>
                <c:pt idx="24">
                  <c:v>186</c:v>
                </c:pt>
                <c:pt idx="25">
                  <c:v>220</c:v>
                </c:pt>
                <c:pt idx="26">
                  <c:v>528</c:v>
                </c:pt>
                <c:pt idx="27">
                  <c:v>447</c:v>
                </c:pt>
                <c:pt idx="28">
                  <c:v>122</c:v>
                </c:pt>
                <c:pt idx="29">
                  <c:v>29</c:v>
                </c:pt>
                <c:pt idx="30">
                  <c:v>137</c:v>
                </c:pt>
                <c:pt idx="31">
                  <c:v>142</c:v>
                </c:pt>
                <c:pt idx="32">
                  <c:v>233</c:v>
                </c:pt>
                <c:pt idx="33">
                  <c:v>86</c:v>
                </c:pt>
                <c:pt idx="34" formatCode="#,##0">
                  <c:v>98</c:v>
                </c:pt>
                <c:pt idx="35">
                  <c:v>58</c:v>
                </c:pt>
                <c:pt idx="36">
                  <c:v>298</c:v>
                </c:pt>
                <c:pt idx="37">
                  <c:v>249</c:v>
                </c:pt>
                <c:pt idx="38">
                  <c:v>168</c:v>
                </c:pt>
                <c:pt idx="39">
                  <c:v>236</c:v>
                </c:pt>
                <c:pt idx="40">
                  <c:v>47</c:v>
                </c:pt>
                <c:pt idx="41">
                  <c:v>676</c:v>
                </c:pt>
                <c:pt idx="42">
                  <c:v>58</c:v>
                </c:pt>
                <c:pt idx="43">
                  <c:v>150</c:v>
                </c:pt>
                <c:pt idx="44">
                  <c:v>218</c:v>
                </c:pt>
                <c:pt idx="45">
                  <c:v>184</c:v>
                </c:pt>
                <c:pt idx="46">
                  <c:v>241</c:v>
                </c:pt>
                <c:pt idx="47">
                  <c:v>487</c:v>
                </c:pt>
                <c:pt idx="48">
                  <c:v>147</c:v>
                </c:pt>
                <c:pt idx="49">
                  <c:v>214</c:v>
                </c:pt>
                <c:pt idx="50">
                  <c:v>109</c:v>
                </c:pt>
                <c:pt idx="51">
                  <c:v>125</c:v>
                </c:pt>
                <c:pt idx="52">
                  <c:v>247</c:v>
                </c:pt>
                <c:pt idx="53">
                  <c:v>200</c:v>
                </c:pt>
                <c:pt idx="54">
                  <c:v>103</c:v>
                </c:pt>
                <c:pt idx="55">
                  <c:v>139</c:v>
                </c:pt>
                <c:pt idx="56">
                  <c:v>358</c:v>
                </c:pt>
                <c:pt idx="57">
                  <c:v>108</c:v>
                </c:pt>
                <c:pt idx="58">
                  <c:v>82</c:v>
                </c:pt>
                <c:pt idx="59">
                  <c:v>61</c:v>
                </c:pt>
                <c:pt idx="60">
                  <c:v>690</c:v>
                </c:pt>
                <c:pt idx="61">
                  <c:v>225</c:v>
                </c:pt>
                <c:pt idx="62">
                  <c:v>115</c:v>
                </c:pt>
                <c:pt idx="63">
                  <c:v>753</c:v>
                </c:pt>
                <c:pt idx="64">
                  <c:v>128</c:v>
                </c:pt>
                <c:pt idx="65">
                  <c:v>120</c:v>
                </c:pt>
                <c:pt idx="66">
                  <c:v>101</c:v>
                </c:pt>
                <c:pt idx="67">
                  <c:v>165</c:v>
                </c:pt>
                <c:pt idx="68">
                  <c:v>171</c:v>
                </c:pt>
                <c:pt idx="69">
                  <c:v>71</c:v>
                </c:pt>
                <c:pt idx="70">
                  <c:v>234</c:v>
                </c:pt>
                <c:pt idx="71">
                  <c:v>184</c:v>
                </c:pt>
                <c:pt idx="72">
                  <c:v>165</c:v>
                </c:pt>
                <c:pt idx="73">
                  <c:v>118</c:v>
                </c:pt>
                <c:pt idx="74">
                  <c:v>180</c:v>
                </c:pt>
                <c:pt idx="75">
                  <c:v>153</c:v>
                </c:pt>
                <c:pt idx="76">
                  <c:v>183</c:v>
                </c:pt>
                <c:pt idx="77">
                  <c:v>25</c:v>
                </c:pt>
                <c:pt idx="78">
                  <c:v>308</c:v>
                </c:pt>
                <c:pt idx="79">
                  <c:v>246</c:v>
                </c:pt>
                <c:pt idx="80">
                  <c:v>522</c:v>
                </c:pt>
                <c:pt idx="81">
                  <c:v>801</c:v>
                </c:pt>
                <c:pt idx="82">
                  <c:v>65</c:v>
                </c:pt>
                <c:pt idx="83">
                  <c:v>62</c:v>
                </c:pt>
                <c:pt idx="84">
                  <c:v>292</c:v>
                </c:pt>
                <c:pt idx="85">
                  <c:v>25</c:v>
                </c:pt>
                <c:pt idx="86">
                  <c:v>94</c:v>
                </c:pt>
                <c:pt idx="87">
                  <c:v>548</c:v>
                </c:pt>
                <c:pt idx="88">
                  <c:v>254</c:v>
                </c:pt>
                <c:pt idx="89">
                  <c:v>118</c:v>
                </c:pt>
                <c:pt idx="90">
                  <c:v>144</c:v>
                </c:pt>
                <c:pt idx="91">
                  <c:v>99</c:v>
                </c:pt>
                <c:pt idx="92">
                  <c:v>373</c:v>
                </c:pt>
                <c:pt idx="93">
                  <c:v>241</c:v>
                </c:pt>
                <c:pt idx="94">
                  <c:v>275</c:v>
                </c:pt>
                <c:pt idx="95" formatCode="#,##0">
                  <c:v>102</c:v>
                </c:pt>
                <c:pt idx="96">
                  <c:v>115</c:v>
                </c:pt>
                <c:pt idx="97" formatCode="#,##0">
                  <c:v>100</c:v>
                </c:pt>
                <c:pt idx="98">
                  <c:v>203</c:v>
                </c:pt>
                <c:pt idx="99" formatCode="#,##0">
                  <c:v>1039</c:v>
                </c:pt>
                <c:pt idx="100" formatCode="#,##0">
                  <c:v>897</c:v>
                </c:pt>
                <c:pt idx="101" formatCode="#,##0">
                  <c:v>248</c:v>
                </c:pt>
                <c:pt idx="102" formatCode="#,##0">
                  <c:v>99</c:v>
                </c:pt>
                <c:pt idx="103" formatCode="#,##0">
                  <c:v>254</c:v>
                </c:pt>
                <c:pt idx="104" formatCode="#,##0">
                  <c:v>291</c:v>
                </c:pt>
                <c:pt idx="105" formatCode="#,##0">
                  <c:v>442</c:v>
                </c:pt>
                <c:pt idx="106" formatCode="#,##0">
                  <c:v>250</c:v>
                </c:pt>
                <c:pt idx="107" formatCode="#,##0">
                  <c:v>150</c:v>
                </c:pt>
                <c:pt idx="108" formatCode="#,##0">
                  <c:v>60</c:v>
                </c:pt>
                <c:pt idx="109" formatCode="#,##0">
                  <c:v>138</c:v>
                </c:pt>
                <c:pt idx="110" formatCode="#,##0">
                  <c:v>63</c:v>
                </c:pt>
                <c:pt idx="111" formatCode="#,##0">
                  <c:v>322</c:v>
                </c:pt>
                <c:pt idx="112" formatCode="#,##0">
                  <c:v>399</c:v>
                </c:pt>
                <c:pt idx="113" formatCode="#,##0">
                  <c:v>149</c:v>
                </c:pt>
                <c:pt idx="114" formatCode="#,##0">
                  <c:v>691</c:v>
                </c:pt>
                <c:pt idx="115" formatCode="#,##0">
                  <c:v>390</c:v>
                </c:pt>
                <c:pt idx="116" formatCode="#,##0">
                  <c:v>443</c:v>
                </c:pt>
                <c:pt idx="117" formatCode="#,##0">
                  <c:v>70</c:v>
                </c:pt>
                <c:pt idx="118" formatCode="#,##0">
                  <c:v>142</c:v>
                </c:pt>
                <c:pt idx="119" formatCode="#,##0">
                  <c:v>471</c:v>
                </c:pt>
                <c:pt idx="120" formatCode="#,##0">
                  <c:v>227</c:v>
                </c:pt>
                <c:pt idx="121" formatCode="#,##0">
                  <c:v>137</c:v>
                </c:pt>
                <c:pt idx="122" formatCode="#,##0">
                  <c:v>79</c:v>
                </c:pt>
                <c:pt idx="123" formatCode="#,##0">
                  <c:v>479</c:v>
                </c:pt>
                <c:pt idx="124" formatCode="#,##0">
                  <c:v>78</c:v>
                </c:pt>
                <c:pt idx="125" formatCode="#,##0">
                  <c:v>176</c:v>
                </c:pt>
                <c:pt idx="126" formatCode="#,##0">
                  <c:v>277</c:v>
                </c:pt>
                <c:pt idx="127" formatCode="#,##0">
                  <c:v>131</c:v>
                </c:pt>
                <c:pt idx="128" formatCode="#,##0">
                  <c:v>279</c:v>
                </c:pt>
                <c:pt idx="129" formatCode="#,##0">
                  <c:v>124</c:v>
                </c:pt>
                <c:pt idx="130" formatCode="#,##0">
                  <c:v>225</c:v>
                </c:pt>
                <c:pt idx="131" formatCode="#,##0">
                  <c:v>33</c:v>
                </c:pt>
                <c:pt idx="132" formatCode="#,##0">
                  <c:v>198</c:v>
                </c:pt>
                <c:pt idx="133" formatCode="#,##0">
                  <c:v>81</c:v>
                </c:pt>
                <c:pt idx="134" formatCode="#,##0">
                  <c:v>281</c:v>
                </c:pt>
                <c:pt idx="135" formatCode="#,##0">
                  <c:v>616</c:v>
                </c:pt>
                <c:pt idx="136" formatCode="#,##0">
                  <c:v>488</c:v>
                </c:pt>
                <c:pt idx="137" formatCode="#,##0">
                  <c:v>50</c:v>
                </c:pt>
                <c:pt idx="138" formatCode="#,##0">
                  <c:v>76</c:v>
                </c:pt>
                <c:pt idx="139" formatCode="#,##0">
                  <c:v>139</c:v>
                </c:pt>
                <c:pt idx="140" formatCode="#,##0">
                  <c:v>370</c:v>
                </c:pt>
                <c:pt idx="141" formatCode="#,##0">
                  <c:v>1100</c:v>
                </c:pt>
                <c:pt idx="142" formatCode="#,##0">
                  <c:v>157</c:v>
                </c:pt>
                <c:pt idx="143" formatCode="#,##0">
                  <c:v>392</c:v>
                </c:pt>
                <c:pt idx="144" formatCode="#,##0">
                  <c:v>69</c:v>
                </c:pt>
                <c:pt idx="145" formatCode="#,##0">
                  <c:v>221</c:v>
                </c:pt>
                <c:pt idx="146" formatCode="#,##0">
                  <c:v>435</c:v>
                </c:pt>
                <c:pt idx="147" formatCode="#,##0">
                  <c:v>138</c:v>
                </c:pt>
                <c:pt idx="148" formatCode="#,##0">
                  <c:v>630</c:v>
                </c:pt>
                <c:pt idx="149" formatCode="#,##0">
                  <c:v>207</c:v>
                </c:pt>
                <c:pt idx="150" formatCode="#,##0">
                  <c:v>82</c:v>
                </c:pt>
                <c:pt idx="151" formatCode="#,##0">
                  <c:v>294</c:v>
                </c:pt>
                <c:pt idx="152" formatCode="#,##0">
                  <c:v>208</c:v>
                </c:pt>
                <c:pt idx="153" formatCode="#,##0">
                  <c:v>620</c:v>
                </c:pt>
                <c:pt idx="154" formatCode="#,##0">
                  <c:v>514</c:v>
                </c:pt>
                <c:pt idx="155" formatCode="#,##0">
                  <c:v>91</c:v>
                </c:pt>
                <c:pt idx="156" formatCode="#,##0">
                  <c:v>321</c:v>
                </c:pt>
                <c:pt idx="157" formatCode="#,##0">
                  <c:v>643</c:v>
                </c:pt>
                <c:pt idx="158" formatCode="#,##0">
                  <c:v>102</c:v>
                </c:pt>
                <c:pt idx="159" formatCode="#,##0">
                  <c:v>242</c:v>
                </c:pt>
                <c:pt idx="160" formatCode="#,##0">
                  <c:v>107</c:v>
                </c:pt>
                <c:pt idx="161" formatCode="#,##0">
                  <c:v>62</c:v>
                </c:pt>
                <c:pt idx="162" formatCode="#,##0">
                  <c:v>127</c:v>
                </c:pt>
                <c:pt idx="163" formatCode="#,##0">
                  <c:v>429</c:v>
                </c:pt>
                <c:pt idx="164" formatCode="#,##0">
                  <c:v>103</c:v>
                </c:pt>
                <c:pt idx="165" formatCode="#,##0">
                  <c:v>138</c:v>
                </c:pt>
                <c:pt idx="166" formatCode="#,##0">
                  <c:v>30</c:v>
                </c:pt>
                <c:pt idx="167" formatCode="#,##0">
                  <c:v>145</c:v>
                </c:pt>
                <c:pt idx="168" formatCode="#,##0">
                  <c:v>221</c:v>
                </c:pt>
                <c:pt idx="169" formatCode="#,##0">
                  <c:v>300</c:v>
                </c:pt>
                <c:pt idx="170" formatCode="#,##0">
                  <c:v>131</c:v>
                </c:pt>
                <c:pt idx="171" formatCode="#,##0">
                  <c:v>149</c:v>
                </c:pt>
                <c:pt idx="172" formatCode="#,##0">
                  <c:v>224</c:v>
                </c:pt>
                <c:pt idx="173" formatCode="#,##0">
                  <c:v>50</c:v>
                </c:pt>
                <c:pt idx="174" formatCode="#,##0">
                  <c:v>831</c:v>
                </c:pt>
                <c:pt idx="175" formatCode="#,##0">
                  <c:v>253</c:v>
                </c:pt>
                <c:pt idx="176" formatCode="#,##0">
                  <c:v>198</c:v>
                </c:pt>
                <c:pt idx="177" formatCode="#,##0">
                  <c:v>134</c:v>
                </c:pt>
                <c:pt idx="178" formatCode="#,##0">
                  <c:v>363</c:v>
                </c:pt>
                <c:pt idx="179" formatCode="#,##0">
                  <c:v>821</c:v>
                </c:pt>
                <c:pt idx="180" formatCode="#,##0">
                  <c:v>179</c:v>
                </c:pt>
                <c:pt idx="181" formatCode="#,##0">
                  <c:v>237</c:v>
                </c:pt>
                <c:pt idx="182" formatCode="#,##0">
                  <c:v>128</c:v>
                </c:pt>
                <c:pt idx="183" formatCode="#,##0">
                  <c:v>348</c:v>
                </c:pt>
                <c:pt idx="184" formatCode="#,##0">
                  <c:v>78</c:v>
                </c:pt>
                <c:pt idx="185" formatCode="#,##0">
                  <c:v>518</c:v>
                </c:pt>
                <c:pt idx="186" formatCode="#,##0">
                  <c:v>240</c:v>
                </c:pt>
                <c:pt idx="187" formatCode="#,##0">
                  <c:v>39</c:v>
                </c:pt>
                <c:pt idx="188" formatCode="#,##0">
                  <c:v>728</c:v>
                </c:pt>
                <c:pt idx="189" formatCode="#,##0">
                  <c:v>163</c:v>
                </c:pt>
                <c:pt idx="190" formatCode="#,##0">
                  <c:v>122</c:v>
                </c:pt>
                <c:pt idx="191" formatCode="#,##0">
                  <c:v>1055</c:v>
                </c:pt>
                <c:pt idx="192" formatCode="#,##0">
                  <c:v>215</c:v>
                </c:pt>
                <c:pt idx="193" formatCode="#,##0">
                  <c:v>269</c:v>
                </c:pt>
                <c:pt idx="194" formatCode="#,##0">
                  <c:v>296</c:v>
                </c:pt>
                <c:pt idx="195" formatCode="#,##0">
                  <c:v>189</c:v>
                </c:pt>
                <c:pt idx="196" formatCode="#,##0">
                  <c:v>371</c:v>
                </c:pt>
                <c:pt idx="197" formatCode="#,##0">
                  <c:v>748</c:v>
                </c:pt>
                <c:pt idx="198" formatCode="#,##0">
                  <c:v>806</c:v>
                </c:pt>
                <c:pt idx="199" formatCode="#,##0">
                  <c:v>354</c:v>
                </c:pt>
                <c:pt idx="200" formatCode="#,##0">
                  <c:v>255</c:v>
                </c:pt>
                <c:pt idx="201" formatCode="#,##0">
                  <c:v>405</c:v>
                </c:pt>
                <c:pt idx="202" formatCode="#,##0">
                  <c:v>359</c:v>
                </c:pt>
                <c:pt idx="203" formatCode="#,##0">
                  <c:v>124</c:v>
                </c:pt>
                <c:pt idx="204" formatCode="#,##0">
                  <c:v>385</c:v>
                </c:pt>
                <c:pt idx="205" formatCode="#,##0">
                  <c:v>246</c:v>
                </c:pt>
                <c:pt idx="206" formatCode="#,##0">
                  <c:v>238</c:v>
                </c:pt>
                <c:pt idx="207" formatCode="#,##0">
                  <c:v>270</c:v>
                </c:pt>
                <c:pt idx="208" formatCode="#,##0">
                  <c:v>665</c:v>
                </c:pt>
                <c:pt idx="209" formatCode="#,##0">
                  <c:v>93</c:v>
                </c:pt>
                <c:pt idx="210" formatCode="#,##0">
                  <c:v>297</c:v>
                </c:pt>
                <c:pt idx="211" formatCode="#,##0">
                  <c:v>188</c:v>
                </c:pt>
                <c:pt idx="212" formatCode="#,##0">
                  <c:v>472</c:v>
                </c:pt>
                <c:pt idx="213" formatCode="#,##0">
                  <c:v>97</c:v>
                </c:pt>
                <c:pt idx="214" formatCode="#,##0">
                  <c:v>390</c:v>
                </c:pt>
                <c:pt idx="215" formatCode="#,##0">
                  <c:v>125</c:v>
                </c:pt>
                <c:pt idx="216" formatCode="#,##0">
                  <c:v>324</c:v>
                </c:pt>
                <c:pt idx="217" formatCode="#,##0">
                  <c:v>220</c:v>
                </c:pt>
                <c:pt idx="218" formatCode="#,##0">
                  <c:v>172</c:v>
                </c:pt>
                <c:pt idx="219" formatCode="#,##0">
                  <c:v>402</c:v>
                </c:pt>
                <c:pt idx="220" formatCode="#,##0">
                  <c:v>126</c:v>
                </c:pt>
                <c:pt idx="221" formatCode="#,##0">
                  <c:v>151</c:v>
                </c:pt>
                <c:pt idx="222" formatCode="#,##0">
                  <c:v>74</c:v>
                </c:pt>
                <c:pt idx="223" formatCode="#,##0">
                  <c:v>92</c:v>
                </c:pt>
                <c:pt idx="224" formatCode="#,##0">
                  <c:v>235</c:v>
                </c:pt>
                <c:pt idx="225" formatCode="#,##0">
                  <c:v>141</c:v>
                </c:pt>
                <c:pt idx="226" formatCode="#,##0">
                  <c:v>135</c:v>
                </c:pt>
                <c:pt idx="227" formatCode="#,##0">
                  <c:v>183</c:v>
                </c:pt>
                <c:pt idx="228" formatCode="#,##0">
                  <c:v>452</c:v>
                </c:pt>
                <c:pt idx="229" formatCode="#,##0">
                  <c:v>79</c:v>
                </c:pt>
                <c:pt idx="230" formatCode="#,##0">
                  <c:v>323</c:v>
                </c:pt>
                <c:pt idx="231" formatCode="#,##0">
                  <c:v>276</c:v>
                </c:pt>
                <c:pt idx="232" formatCode="#,##0">
                  <c:v>312</c:v>
                </c:pt>
                <c:pt idx="233" formatCode="#,##0">
                  <c:v>195</c:v>
                </c:pt>
                <c:pt idx="234" formatCode="#,##0">
                  <c:v>135</c:v>
                </c:pt>
                <c:pt idx="235" formatCode="#,##0">
                  <c:v>306</c:v>
                </c:pt>
                <c:pt idx="236" formatCode="#,##0">
                  <c:v>57</c:v>
                </c:pt>
                <c:pt idx="237" formatCode="#,##0">
                  <c:v>123</c:v>
                </c:pt>
                <c:pt idx="238" formatCode="#,##0">
                  <c:v>152</c:v>
                </c:pt>
                <c:pt idx="239" formatCode="#,##0">
                  <c:v>200</c:v>
                </c:pt>
                <c:pt idx="240" formatCode="#,##0">
                  <c:v>172</c:v>
                </c:pt>
                <c:pt idx="241" formatCode="#,##0">
                  <c:v>93</c:v>
                </c:pt>
                <c:pt idx="242" formatCode="#,##0">
                  <c:v>34</c:v>
                </c:pt>
                <c:pt idx="243" formatCode="#,##0">
                  <c:v>157</c:v>
                </c:pt>
                <c:pt idx="244" formatCode="#,##0">
                  <c:v>195</c:v>
                </c:pt>
                <c:pt idx="245" formatCode="#,##0">
                  <c:v>458</c:v>
                </c:pt>
                <c:pt idx="246" formatCode="#,##0">
                  <c:v>177</c:v>
                </c:pt>
                <c:pt idx="247" formatCode="#,##0">
                  <c:v>100</c:v>
                </c:pt>
                <c:pt idx="248" formatCode="#,##0">
                  <c:v>38</c:v>
                </c:pt>
                <c:pt idx="249" formatCode="#,##0">
                  <c:v>291</c:v>
                </c:pt>
                <c:pt idx="250" formatCode="#,##0">
                  <c:v>97</c:v>
                </c:pt>
                <c:pt idx="251" formatCode="#,##0">
                  <c:v>145</c:v>
                </c:pt>
                <c:pt idx="252" formatCode="#,##0">
                  <c:v>534</c:v>
                </c:pt>
                <c:pt idx="253" formatCode="#,##0">
                  <c:v>176</c:v>
                </c:pt>
                <c:pt idx="254" formatCode="#,##0">
                  <c:v>50</c:v>
                </c:pt>
                <c:pt idx="255" formatCode="#,##0">
                  <c:v>473</c:v>
                </c:pt>
                <c:pt idx="256" formatCode="#,##0">
                  <c:v>414</c:v>
                </c:pt>
                <c:pt idx="257" formatCode="#,##0">
                  <c:v>80</c:v>
                </c:pt>
                <c:pt idx="258" formatCode="#,##0">
                  <c:v>85</c:v>
                </c:pt>
                <c:pt idx="259" formatCode="#,##0">
                  <c:v>487</c:v>
                </c:pt>
                <c:pt idx="260" formatCode="#,##0">
                  <c:v>451</c:v>
                </c:pt>
                <c:pt idx="261" formatCode="#,##0">
                  <c:v>92</c:v>
                </c:pt>
                <c:pt idx="262" formatCode="#,##0">
                  <c:v>88</c:v>
                </c:pt>
                <c:pt idx="263" formatCode="#,##0">
                  <c:v>451</c:v>
                </c:pt>
                <c:pt idx="264" formatCode="#,##0">
                  <c:v>99</c:v>
                </c:pt>
                <c:pt idx="265" formatCode="#,##0">
                  <c:v>60</c:v>
                </c:pt>
                <c:pt idx="266" formatCode="#,##0">
                  <c:v>47</c:v>
                </c:pt>
                <c:pt idx="267" formatCode="#,##0">
                  <c:v>30</c:v>
                </c:pt>
                <c:pt idx="268" formatCode="#,##0">
                  <c:v>205</c:v>
                </c:pt>
                <c:pt idx="269" formatCode="#,##0">
                  <c:v>123</c:v>
                </c:pt>
                <c:pt idx="270" formatCode="#,##0">
                  <c:v>49</c:v>
                </c:pt>
                <c:pt idx="271" formatCode="#,##0">
                  <c:v>79</c:v>
                </c:pt>
                <c:pt idx="272" formatCode="#,##0">
                  <c:v>82</c:v>
                </c:pt>
                <c:pt idx="273" formatCode="#,##0">
                  <c:v>788</c:v>
                </c:pt>
                <c:pt idx="274" formatCode="#,##0">
                  <c:v>257</c:v>
                </c:pt>
                <c:pt idx="275" formatCode="#,##0">
                  <c:v>114</c:v>
                </c:pt>
                <c:pt idx="276" formatCode="#,##0">
                  <c:v>65</c:v>
                </c:pt>
                <c:pt idx="277" formatCode="#,##0">
                  <c:v>219</c:v>
                </c:pt>
                <c:pt idx="278" formatCode="#,##0">
                  <c:v>242</c:v>
                </c:pt>
                <c:pt idx="279" formatCode="#,##0">
                  <c:v>454</c:v>
                </c:pt>
                <c:pt idx="280" formatCode="#,##0">
                  <c:v>127</c:v>
                </c:pt>
                <c:pt idx="281" formatCode="#,##0">
                  <c:v>172</c:v>
                </c:pt>
                <c:pt idx="282" formatCode="#,##0">
                  <c:v>128</c:v>
                </c:pt>
                <c:pt idx="283" formatCode="#,##0">
                  <c:v>435</c:v>
                </c:pt>
                <c:pt idx="284" formatCode="#,##0">
                  <c:v>210</c:v>
                </c:pt>
                <c:pt idx="285" formatCode="#,##0">
                  <c:v>90</c:v>
                </c:pt>
                <c:pt idx="286" formatCode="#,##0">
                  <c:v>459</c:v>
                </c:pt>
                <c:pt idx="287" formatCode="#,##0">
                  <c:v>167</c:v>
                </c:pt>
                <c:pt idx="288" formatCode="#,##0">
                  <c:v>49</c:v>
                </c:pt>
                <c:pt idx="289" formatCode="#,##0">
                  <c:v>255</c:v>
                </c:pt>
                <c:pt idx="290" formatCode="#,##0">
                  <c:v>447</c:v>
                </c:pt>
                <c:pt idx="291" formatCode="#,##0">
                  <c:v>511</c:v>
                </c:pt>
                <c:pt idx="292" formatCode="#,##0">
                  <c:v>208</c:v>
                </c:pt>
                <c:pt idx="293" formatCode="#,##0">
                  <c:v>111</c:v>
                </c:pt>
                <c:pt idx="294" formatCode="#,##0">
                  <c:v>110</c:v>
                </c:pt>
                <c:pt idx="295" formatCode="#,##0">
                  <c:v>277</c:v>
                </c:pt>
                <c:pt idx="296" formatCode="#,##0">
                  <c:v>314</c:v>
                </c:pt>
                <c:pt idx="297" formatCode="#,##0">
                  <c:v>34</c:v>
                </c:pt>
                <c:pt idx="298" formatCode="#,##0">
                  <c:v>68</c:v>
                </c:pt>
                <c:pt idx="299" formatCode="#,##0">
                  <c:v>172</c:v>
                </c:pt>
                <c:pt idx="300" formatCode="#,##0">
                  <c:v>296</c:v>
                </c:pt>
                <c:pt idx="301" formatCode="#,##0">
                  <c:v>219</c:v>
                </c:pt>
                <c:pt idx="302" formatCode="#,##0">
                  <c:v>147</c:v>
                </c:pt>
                <c:pt idx="303" formatCode="#,##0">
                  <c:v>283</c:v>
                </c:pt>
                <c:pt idx="304" formatCode="#,##0">
                  <c:v>145</c:v>
                </c:pt>
                <c:pt idx="305" formatCode="#,##0">
                  <c:v>574</c:v>
                </c:pt>
                <c:pt idx="306" formatCode="#,##0">
                  <c:v>274</c:v>
                </c:pt>
                <c:pt idx="307" formatCode="#,##0">
                  <c:v>171</c:v>
                </c:pt>
                <c:pt idx="308" formatCode="#,##0">
                  <c:v>128</c:v>
                </c:pt>
                <c:pt idx="309" formatCode="#,##0">
                  <c:v>126</c:v>
                </c:pt>
                <c:pt idx="310" formatCode="#,##0">
                  <c:v>232</c:v>
                </c:pt>
                <c:pt idx="311" formatCode="#,##0">
                  <c:v>155</c:v>
                </c:pt>
                <c:pt idx="312" formatCode="#,##0">
                  <c:v>682</c:v>
                </c:pt>
                <c:pt idx="313" formatCode="#,##0">
                  <c:v>83</c:v>
                </c:pt>
                <c:pt idx="314" formatCode="#,##0">
                  <c:v>243</c:v>
                </c:pt>
                <c:pt idx="315" formatCode="#,##0">
                  <c:v>415</c:v>
                </c:pt>
                <c:pt idx="316" formatCode="#,##0">
                  <c:v>86</c:v>
                </c:pt>
                <c:pt idx="317" formatCode="#,##0">
                  <c:v>56</c:v>
                </c:pt>
                <c:pt idx="318" formatCode="#,##0">
                  <c:v>178</c:v>
                </c:pt>
                <c:pt idx="319" formatCode="#,##0">
                  <c:v>130</c:v>
                </c:pt>
                <c:pt idx="320" formatCode="#,##0">
                  <c:v>122</c:v>
                </c:pt>
                <c:pt idx="321" formatCode="#,##0">
                  <c:v>45</c:v>
                </c:pt>
                <c:pt idx="322" formatCode="#,##0">
                  <c:v>346</c:v>
                </c:pt>
                <c:pt idx="323" formatCode="#,##0">
                  <c:v>63</c:v>
                </c:pt>
                <c:pt idx="324" formatCode="#,##0">
                  <c:v>62</c:v>
                </c:pt>
                <c:pt idx="325" formatCode="#,##0">
                  <c:v>429</c:v>
                </c:pt>
                <c:pt idx="326" formatCode="#,##0">
                  <c:v>102</c:v>
                </c:pt>
                <c:pt idx="327" formatCode="#,##0">
                  <c:v>245</c:v>
                </c:pt>
                <c:pt idx="328" formatCode="#,##0">
                  <c:v>321</c:v>
                </c:pt>
                <c:pt idx="329" formatCode="#,##0">
                  <c:v>344</c:v>
                </c:pt>
                <c:pt idx="330" formatCode="#,##0">
                  <c:v>436</c:v>
                </c:pt>
                <c:pt idx="331" formatCode="#,##0">
                  <c:v>490</c:v>
                </c:pt>
                <c:pt idx="332" formatCode="#,##0">
                  <c:v>366</c:v>
                </c:pt>
                <c:pt idx="333" formatCode="#,##0">
                  <c:v>276</c:v>
                </c:pt>
                <c:pt idx="334" formatCode="#,##0">
                  <c:v>267</c:v>
                </c:pt>
                <c:pt idx="335" formatCode="#,##0">
                  <c:v>121</c:v>
                </c:pt>
                <c:pt idx="336" formatCode="#,##0">
                  <c:v>174</c:v>
                </c:pt>
                <c:pt idx="337" formatCode="#,##0">
                  <c:v>785</c:v>
                </c:pt>
                <c:pt idx="338" formatCode="#,##0">
                  <c:v>200</c:v>
                </c:pt>
                <c:pt idx="339" formatCode="#,##0">
                  <c:v>458</c:v>
                </c:pt>
                <c:pt idx="340" formatCode="#,##0">
                  <c:v>638</c:v>
                </c:pt>
                <c:pt idx="341" formatCode="#,##0">
                  <c:v>53</c:v>
                </c:pt>
                <c:pt idx="342" formatCode="#,##0">
                  <c:v>245</c:v>
                </c:pt>
                <c:pt idx="343" formatCode="#,##0">
                  <c:v>181</c:v>
                </c:pt>
                <c:pt idx="344" formatCode="#,##0">
                  <c:v>285</c:v>
                </c:pt>
                <c:pt idx="345" formatCode="#,##0">
                  <c:v>163</c:v>
                </c:pt>
                <c:pt idx="346" formatCode="#,##0">
                  <c:v>188</c:v>
                </c:pt>
                <c:pt idx="347" formatCode="#,##0">
                  <c:v>142</c:v>
                </c:pt>
                <c:pt idx="348" formatCode="#,##0">
                  <c:v>388</c:v>
                </c:pt>
                <c:pt idx="349" formatCode="#,##0">
                  <c:v>266</c:v>
                </c:pt>
                <c:pt idx="350" formatCode="#,##0">
                  <c:v>111</c:v>
                </c:pt>
                <c:pt idx="351" formatCode="#,##0">
                  <c:v>178</c:v>
                </c:pt>
                <c:pt idx="352" formatCode="#,##0">
                  <c:v>193</c:v>
                </c:pt>
                <c:pt idx="353" formatCode="#,##0">
                  <c:v>264</c:v>
                </c:pt>
                <c:pt idx="354" formatCode="#,##0">
                  <c:v>255</c:v>
                </c:pt>
                <c:pt idx="355" formatCode="#,##0">
                  <c:v>401</c:v>
                </c:pt>
                <c:pt idx="356" formatCode="#,##0">
                  <c:v>173</c:v>
                </c:pt>
                <c:pt idx="357" formatCode="#,##0">
                  <c:v>278</c:v>
                </c:pt>
                <c:pt idx="358" formatCode="#,##0">
                  <c:v>281</c:v>
                </c:pt>
                <c:pt idx="359" formatCode="#,##0">
                  <c:v>185</c:v>
                </c:pt>
                <c:pt idx="360" formatCode="#,##0">
                  <c:v>320</c:v>
                </c:pt>
                <c:pt idx="361" formatCode="#,##0">
                  <c:v>107</c:v>
                </c:pt>
                <c:pt idx="362" formatCode="#,##0">
                  <c:v>246</c:v>
                </c:pt>
                <c:pt idx="363" formatCode="#,##0">
                  <c:v>107</c:v>
                </c:pt>
                <c:pt idx="364" formatCode="#,##0">
                  <c:v>295</c:v>
                </c:pt>
                <c:pt idx="365" formatCode="#,##0">
                  <c:v>232</c:v>
                </c:pt>
                <c:pt idx="366" formatCode="#,##0">
                  <c:v>430</c:v>
                </c:pt>
                <c:pt idx="367" formatCode="#,##0">
                  <c:v>224</c:v>
                </c:pt>
                <c:pt idx="368" formatCode="#,##0">
                  <c:v>496</c:v>
                </c:pt>
                <c:pt idx="369" formatCode="#,##0">
                  <c:v>338</c:v>
                </c:pt>
                <c:pt idx="370" formatCode="#,##0">
                  <c:v>339</c:v>
                </c:pt>
                <c:pt idx="371" formatCode="#,##0">
                  <c:v>83</c:v>
                </c:pt>
                <c:pt idx="372" formatCode="#,##0">
                  <c:v>448</c:v>
                </c:pt>
                <c:pt idx="373" formatCode="#,##0">
                  <c:v>308</c:v>
                </c:pt>
                <c:pt idx="374" formatCode="#,##0">
                  <c:v>91</c:v>
                </c:pt>
                <c:pt idx="375" formatCode="#,##0">
                  <c:v>836</c:v>
                </c:pt>
                <c:pt idx="376" formatCode="#,##0">
                  <c:v>177</c:v>
                </c:pt>
                <c:pt idx="377" formatCode="#,##0">
                  <c:v>586</c:v>
                </c:pt>
                <c:pt idx="378" formatCode="#,##0">
                  <c:v>48</c:v>
                </c:pt>
                <c:pt idx="379" formatCode="#,##0">
                  <c:v>114</c:v>
                </c:pt>
                <c:pt idx="380" formatCode="#,##0">
                  <c:v>93</c:v>
                </c:pt>
                <c:pt idx="381" formatCode="#,##0">
                  <c:v>114</c:v>
                </c:pt>
                <c:pt idx="382" formatCode="#,##0">
                  <c:v>135</c:v>
                </c:pt>
                <c:pt idx="383" formatCode="#,##0">
                  <c:v>98</c:v>
                </c:pt>
                <c:pt idx="384" formatCode="#,##0">
                  <c:v>162</c:v>
                </c:pt>
                <c:pt idx="385" formatCode="#,##0">
                  <c:v>231</c:v>
                </c:pt>
                <c:pt idx="386" formatCode="#,##0">
                  <c:v>230</c:v>
                </c:pt>
                <c:pt idx="387" formatCode="#,##0">
                  <c:v>167</c:v>
                </c:pt>
                <c:pt idx="388" formatCode="#,##0">
                  <c:v>223</c:v>
                </c:pt>
                <c:pt idx="389" formatCode="#,##0">
                  <c:v>291</c:v>
                </c:pt>
                <c:pt idx="390" formatCode="#,##0">
                  <c:v>553</c:v>
                </c:pt>
                <c:pt idx="391" formatCode="#,##0">
                  <c:v>101</c:v>
                </c:pt>
                <c:pt idx="392" formatCode="#,##0">
                  <c:v>320</c:v>
                </c:pt>
                <c:pt idx="393" formatCode="#,##0">
                  <c:v>620</c:v>
                </c:pt>
                <c:pt idx="394" formatCode="#,##0">
                  <c:v>212</c:v>
                </c:pt>
                <c:pt idx="395" formatCode="#,##0">
                  <c:v>109</c:v>
                </c:pt>
                <c:pt idx="396" formatCode="#,##0">
                  <c:v>206</c:v>
                </c:pt>
                <c:pt idx="397" formatCode="#,##0">
                  <c:v>663</c:v>
                </c:pt>
                <c:pt idx="398" formatCode="#,##0">
                  <c:v>337</c:v>
                </c:pt>
                <c:pt idx="399" formatCode="#,##0">
                  <c:v>228</c:v>
                </c:pt>
                <c:pt idx="400" formatCode="#,##0">
                  <c:v>442</c:v>
                </c:pt>
                <c:pt idx="401" formatCode="#,##0">
                  <c:v>240</c:v>
                </c:pt>
                <c:pt idx="402" formatCode="#,##0">
                  <c:v>240</c:v>
                </c:pt>
                <c:pt idx="403" formatCode="#,##0">
                  <c:v>221</c:v>
                </c:pt>
                <c:pt idx="404" formatCode="#,##0">
                  <c:v>173</c:v>
                </c:pt>
                <c:pt idx="405" formatCode="#,##0">
                  <c:v>57</c:v>
                </c:pt>
                <c:pt idx="406" formatCode="#,##0">
                  <c:v>133</c:v>
                </c:pt>
                <c:pt idx="407" formatCode="#,##0">
                  <c:v>86</c:v>
                </c:pt>
                <c:pt idx="408" formatCode="#,##0">
                  <c:v>510</c:v>
                </c:pt>
                <c:pt idx="409" formatCode="#,##0">
                  <c:v>126</c:v>
                </c:pt>
                <c:pt idx="410" formatCode="#,##0">
                  <c:v>223</c:v>
                </c:pt>
                <c:pt idx="411" formatCode="#,##0">
                  <c:v>161</c:v>
                </c:pt>
                <c:pt idx="412" formatCode="#,##0">
                  <c:v>170</c:v>
                </c:pt>
                <c:pt idx="413" formatCode="#,##0">
                  <c:v>117</c:v>
                </c:pt>
                <c:pt idx="414" formatCode="#,##0">
                  <c:v>701</c:v>
                </c:pt>
                <c:pt idx="415" formatCode="#,##0">
                  <c:v>912</c:v>
                </c:pt>
                <c:pt idx="416" formatCode="#,##0">
                  <c:v>20</c:v>
                </c:pt>
                <c:pt idx="417" formatCode="#,##0">
                  <c:v>79</c:v>
                </c:pt>
                <c:pt idx="418" formatCode="#,##0">
                  <c:v>36</c:v>
                </c:pt>
                <c:pt idx="419" formatCode="#,##0">
                  <c:v>82</c:v>
                </c:pt>
                <c:pt idx="420" formatCode="#,##0">
                  <c:v>460</c:v>
                </c:pt>
                <c:pt idx="421" formatCode="#,##0">
                  <c:v>107</c:v>
                </c:pt>
                <c:pt idx="422" formatCode="#,##0">
                  <c:v>183</c:v>
                </c:pt>
                <c:pt idx="423" formatCode="#,##0">
                  <c:v>160</c:v>
                </c:pt>
                <c:pt idx="424" formatCode="#,##0">
                  <c:v>893</c:v>
                </c:pt>
                <c:pt idx="425" formatCode="#,##0">
                  <c:v>163</c:v>
                </c:pt>
                <c:pt idx="426" formatCode="#,##0">
                  <c:v>69</c:v>
                </c:pt>
                <c:pt idx="427" formatCode="#,##0">
                  <c:v>225</c:v>
                </c:pt>
                <c:pt idx="428" formatCode="#,##0">
                  <c:v>229</c:v>
                </c:pt>
                <c:pt idx="429" formatCode="#,##0">
                  <c:v>91</c:v>
                </c:pt>
                <c:pt idx="430" formatCode="#,##0">
                  <c:v>128</c:v>
                </c:pt>
                <c:pt idx="431" formatCode="#,##0">
                  <c:v>19</c:v>
                </c:pt>
                <c:pt idx="432" formatCode="#,##0">
                  <c:v>62</c:v>
                </c:pt>
                <c:pt idx="433" formatCode="#,##0">
                  <c:v>40</c:v>
                </c:pt>
                <c:pt idx="434" formatCode="#,##0">
                  <c:v>71</c:v>
                </c:pt>
                <c:pt idx="435" formatCode="#,##0">
                  <c:v>218</c:v>
                </c:pt>
                <c:pt idx="436" formatCode="#,##0">
                  <c:v>133</c:v>
                </c:pt>
                <c:pt idx="437" formatCode="#,##0">
                  <c:v>63</c:v>
                </c:pt>
                <c:pt idx="438" formatCode="#,##0">
                  <c:v>147</c:v>
                </c:pt>
                <c:pt idx="439" formatCode="#,##0">
                  <c:v>210</c:v>
                </c:pt>
                <c:pt idx="440" formatCode="#,##0">
                  <c:v>70</c:v>
                </c:pt>
                <c:pt idx="441" formatCode="#,##0">
                  <c:v>531</c:v>
                </c:pt>
                <c:pt idx="442" formatCode="#,##0">
                  <c:v>249</c:v>
                </c:pt>
                <c:pt idx="443" formatCode="#,##0">
                  <c:v>248</c:v>
                </c:pt>
                <c:pt idx="444" formatCode="#,##0">
                  <c:v>205</c:v>
                </c:pt>
                <c:pt idx="445" formatCode="#,##0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F-47BD-AC7C-A69AF2F06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447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Rezept_Daten!$H$2</c:f>
              <c:strCache>
                <c:ptCount val="1"/>
                <c:pt idx="0">
                  <c:v>Wasser Normallisiert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Rezept_Daten!$C$3:$C$448</c:f>
              <c:strCache>
                <c:ptCount val="446"/>
                <c:pt idx="0">
                  <c:v>Palajitas</c:v>
                </c:pt>
                <c:pt idx="1">
                  <c:v>Asiatisches Schweinefilet aus dem Wok</c:v>
                </c:pt>
                <c:pt idx="2">
                  <c:v>Neapolitaner Minestrone</c:v>
                </c:pt>
                <c:pt idx="3">
                  <c:v>Rievkooche-Burger</c:v>
                </c:pt>
                <c:pt idx="4">
                  <c:v>Griechischer Hackbraten und Gurkensalat mit Joghurt</c:v>
                </c:pt>
                <c:pt idx="5">
                  <c:v>Pizza-Raclette</c:v>
                </c:pt>
                <c:pt idx="6">
                  <c:v>Bunter Sommersalat mit Putenbruststreifen und Caesars Dressing</c:v>
                </c:pt>
                <c:pt idx="7">
                  <c:v>Fischsuppe à la Krakenes Fyr</c:v>
                </c:pt>
                <c:pt idx="8">
                  <c:v>Dorsch Rückenfilet mit Waldkräutersenfkruste auf Tomaten - Gemüserisotto</c:v>
                </c:pt>
                <c:pt idx="9">
                  <c:v>Kürbis-Moussaka</c:v>
                </c:pt>
                <c:pt idx="10">
                  <c:v>Linsen-Kartoffeleintopf</c:v>
                </c:pt>
                <c:pt idx="11">
                  <c:v>Cannelloni mit Kalbfleisch - Artischockenfüllung und Käsesauce</c:v>
                </c:pt>
                <c:pt idx="12">
                  <c:v>Kürbistarte mit Schafskäse</c:v>
                </c:pt>
                <c:pt idx="13">
                  <c:v>Chefkoch Pulled Teriyaki-Lachs-Burger</c:v>
                </c:pt>
                <c:pt idx="14">
                  <c:v>Türkische Gemüsesuppe</c:v>
                </c:pt>
                <c:pt idx="15">
                  <c:v>Cashew-Spinat-Lasagne</c:v>
                </c:pt>
                <c:pt idx="16">
                  <c:v>Rinderrouladen nach Ammerländer Art</c:v>
                </c:pt>
                <c:pt idx="17">
                  <c:v>Orientalisch gefüllter Kürbis</c:v>
                </c:pt>
                <c:pt idx="18">
                  <c:v>Grillplatte mit Fleisch und Gemüse</c:v>
                </c:pt>
                <c:pt idx="19">
                  <c:v>Erdnuss-Hackbällchen in Currysauce</c:v>
                </c:pt>
                <c:pt idx="20">
                  <c:v>Bouillabaisse Marseillaise</c:v>
                </c:pt>
                <c:pt idx="21">
                  <c:v>Rosenkohlgemüse mit Mini - Frikadellen</c:v>
                </c:pt>
                <c:pt idx="22">
                  <c:v>Crêpes mit Mittelmeerfrüchten</c:v>
                </c:pt>
                <c:pt idx="23">
                  <c:v>Sommerpfannkuchen mit Zucchini-Knoblauch-Frischkäse-Füllung</c:v>
                </c:pt>
                <c:pt idx="24">
                  <c:v>Erdbeerspargelsalat auf Wildkräuterbett u.v.m.</c:v>
                </c:pt>
                <c:pt idx="25">
                  <c:v>Italienischer Silvestersalat</c:v>
                </c:pt>
                <c:pt idx="26">
                  <c:v>Currygeschnetzeltes mit Mandelreis</c:v>
                </c:pt>
                <c:pt idx="27">
                  <c:v>Das beste Chili con Carne</c:v>
                </c:pt>
                <c:pt idx="28">
                  <c:v>Gefüllter Gänsebraten mit Serviettenknödeln</c:v>
                </c:pt>
                <c:pt idx="29">
                  <c:v>Bunter Hackfleisch-Gemüse-Eintopf</c:v>
                </c:pt>
                <c:pt idx="30">
                  <c:v>Kartoffel-Moussaka</c:v>
                </c:pt>
                <c:pt idx="31">
                  <c:v>Lollo mit Hähnchen</c:v>
                </c:pt>
                <c:pt idx="32">
                  <c:v>Ragout fin mit gemischten Pilzen</c:v>
                </c:pt>
                <c:pt idx="33">
                  <c:v>Falafel-Wrap mit Dattel-Schmand-Dip</c:v>
                </c:pt>
                <c:pt idx="34">
                  <c:v>Bucatini Auflauf</c:v>
                </c:pt>
                <c:pt idx="35">
                  <c:v>Bouillabaisse</c:v>
                </c:pt>
                <c:pt idx="36">
                  <c:v>Spargeleintopf mit Fleischklößchen</c:v>
                </c:pt>
                <c:pt idx="37">
                  <c:v>Gefüllte Buchteln mit Frühlingssalat</c:v>
                </c:pt>
                <c:pt idx="38">
                  <c:v>Überbackene Mettklößchen</c:v>
                </c:pt>
                <c:pt idx="39">
                  <c:v>Tortelloni mit Kaninchenleberfüllung und Salbei-Spargel-Butter</c:v>
                </c:pt>
                <c:pt idx="40">
                  <c:v>Minestrone</c:v>
                </c:pt>
                <c:pt idx="41">
                  <c:v>Saftige NT-Kalbsnuss an glacierten Möhren und Kartoffelsoufflé</c:v>
                </c:pt>
                <c:pt idx="42">
                  <c:v>Gebratene Nudeln mit Gemüse, asiatisch</c:v>
                </c:pt>
                <c:pt idx="43">
                  <c:v>Sommerlicher Fisch - Traum</c:v>
                </c:pt>
                <c:pt idx="44">
                  <c:v>Gefüllter Hokkaido - Kürbis</c:v>
                </c:pt>
                <c:pt idx="45">
                  <c:v>Agis Gyros in Metaxasauce</c:v>
                </c:pt>
                <c:pt idx="46">
                  <c:v>Süßkartoffelquiche</c:v>
                </c:pt>
                <c:pt idx="47">
                  <c:v>Scharfe Bananen - Fleischbällchen mit süß - saurer Sauce</c:v>
                </c:pt>
                <c:pt idx="48">
                  <c:v>Chrissis Lahmacun</c:v>
                </c:pt>
                <c:pt idx="49">
                  <c:v>Italienischer Eintopf</c:v>
                </c:pt>
                <c:pt idx="50">
                  <c:v>Fischragout mit Gemüse</c:v>
                </c:pt>
                <c:pt idx="51">
                  <c:v>Vegetarischer Nudelauflauf mit Kürbis</c:v>
                </c:pt>
                <c:pt idx="52">
                  <c:v>Polenta - Auflauf 'South Haven'</c:v>
                </c:pt>
                <c:pt idx="53">
                  <c:v>Karibische Gemüse - Hähnchenspieße mit scharfem Mangochutney</c:v>
                </c:pt>
                <c:pt idx="54">
                  <c:v>Mariniertes Steak mit Grillkartoffel und Gemüsespieß</c:v>
                </c:pt>
                <c:pt idx="55">
                  <c:v>Feuermohns gefüllte Lachs Spinat Cannelloni</c:v>
                </c:pt>
                <c:pt idx="56">
                  <c:v>Mediterraner Schmortopf</c:v>
                </c:pt>
                <c:pt idx="57">
                  <c:v>Bohnen - Speck - Rollen in Gemüsesoße</c:v>
                </c:pt>
                <c:pt idx="58">
                  <c:v>Fischtopf überbacken</c:v>
                </c:pt>
                <c:pt idx="59">
                  <c:v>Klare Suppe mit Fisch und gemischtem Gemüse</c:v>
                </c:pt>
                <c:pt idx="60">
                  <c:v>Falsche Schildkröte mit Fischklösschen</c:v>
                </c:pt>
                <c:pt idx="61">
                  <c:v>Gebackener Ziegenkäse im Speckmantel auf fruchtigem Salat mit Honig-Senf-Vinaigrette</c:v>
                </c:pt>
                <c:pt idx="62">
                  <c:v>Sommerliche Schupfnudelpfanne</c:v>
                </c:pt>
                <c:pt idx="63">
                  <c:v>Asiatisch - fränkischer Tafelspitz, Brezenkloß und Meerrettichcreme</c:v>
                </c:pt>
                <c:pt idx="64">
                  <c:v>Chicken Wrap mit Gemüse, Guacamole und Crème fraîche</c:v>
                </c:pt>
                <c:pt idx="65">
                  <c:v>Kürbis - Kokos - Suppe mit Chili</c:v>
                </c:pt>
                <c:pt idx="66">
                  <c:v>Spinat-Gemüse-Lasagne mit Tomatensoße</c:v>
                </c:pt>
                <c:pt idx="67">
                  <c:v>Kürbis-Lauch-Quiche</c:v>
                </c:pt>
                <c:pt idx="68">
                  <c:v>Bunter Nudelauflauf</c:v>
                </c:pt>
                <c:pt idx="69">
                  <c:v>Auberginenröllchen mit würziger Reisfüllung</c:v>
                </c:pt>
                <c:pt idx="70">
                  <c:v>Ragout von Hähnchenbrust, grünem Spargel und Erdbeeren mit Kürbiskernrisotto</c:v>
                </c:pt>
                <c:pt idx="71">
                  <c:v>Pizza Diavolo</c:v>
                </c:pt>
                <c:pt idx="72">
                  <c:v>Linsensalat mit Mango und Ziegenkäse</c:v>
                </c:pt>
                <c:pt idx="73">
                  <c:v>Tarte à la Ratatouille</c:v>
                </c:pt>
                <c:pt idx="74">
                  <c:v>Kräuterforelle auf mediterranem Sommergemüse</c:v>
                </c:pt>
                <c:pt idx="75">
                  <c:v>Kabeljau im Panko-Parmesan-Mantel mit Tomatennudeln</c:v>
                </c:pt>
                <c:pt idx="76">
                  <c:v>Überbackene Enchiladas mit Tzatziki</c:v>
                </c:pt>
                <c:pt idx="77">
                  <c:v>Griechische Gemüsesuppe</c:v>
                </c:pt>
                <c:pt idx="78">
                  <c:v>Paella</c:v>
                </c:pt>
                <c:pt idx="79">
                  <c:v>Mangoldstrudel</c:v>
                </c:pt>
                <c:pt idx="80">
                  <c:v>Gefüllte Pide</c:v>
                </c:pt>
                <c:pt idx="81">
                  <c:v>Hackbraten</c:v>
                </c:pt>
                <c:pt idx="82">
                  <c:v>Gurken - Schmortopf</c:v>
                </c:pt>
                <c:pt idx="83">
                  <c:v>Edelfische auf Blattspinat in Rote Bete-Sauce</c:v>
                </c:pt>
                <c:pt idx="84">
                  <c:v>Lammrücken unter der Kräuterkruste auf Artischockengemüse mit Polenta</c:v>
                </c:pt>
                <c:pt idx="85">
                  <c:v>Gemüse - Lasagne</c:v>
                </c:pt>
                <c:pt idx="86">
                  <c:v>Lachs gedämpft</c:v>
                </c:pt>
                <c:pt idx="87">
                  <c:v>Lasagne Bolognese</c:v>
                </c:pt>
                <c:pt idx="88">
                  <c:v>Schweinefilet in Schinkenmantel mit Spinat - Pilz - Mozarellafüllung in Blätterteig</c:v>
                </c:pt>
                <c:pt idx="89">
                  <c:v>Kartoffel-Kürbis Gratin alla Napolitana</c:v>
                </c:pt>
                <c:pt idx="90">
                  <c:v>Gemüse-Soufflé</c:v>
                </c:pt>
                <c:pt idx="91">
                  <c:v>Lachs im Gemüsebett</c:v>
                </c:pt>
                <c:pt idx="92">
                  <c:v>Lahmacun</c:v>
                </c:pt>
                <c:pt idx="93">
                  <c:v>Pizza-Dip</c:v>
                </c:pt>
                <c:pt idx="94">
                  <c:v>Palatschinken mit feiner Walnussfüllung</c:v>
                </c:pt>
                <c:pt idx="95">
                  <c:v>Brokkoli - Walnuss Quiche</c:v>
                </c:pt>
                <c:pt idx="96">
                  <c:v>Cannelloni mit Spinat-Tomatensoße und Lachs</c:v>
                </c:pt>
                <c:pt idx="97">
                  <c:v>Kürbisgemüse aus dem Ofen mit Kräuterquark</c:v>
                </c:pt>
                <c:pt idx="98">
                  <c:v>Blitz-Hühnerfrikassee</c:v>
                </c:pt>
                <c:pt idx="99">
                  <c:v>Rindersteak mit Käse - Sauce</c:v>
                </c:pt>
                <c:pt idx="100">
                  <c:v>Lustige Leber</c:v>
                </c:pt>
                <c:pt idx="101">
                  <c:v>Lauchcreme-Gourmetsuppe</c:v>
                </c:pt>
                <c:pt idx="102">
                  <c:v>Cannelloni mit cremiger Gemüse-Käse-Füllung</c:v>
                </c:pt>
                <c:pt idx="103">
                  <c:v>Spargel im knusprigen Hafer - Mantel</c:v>
                </c:pt>
                <c:pt idx="104">
                  <c:v>Gratinierte Forelle mit Mozzarella</c:v>
                </c:pt>
                <c:pt idx="105">
                  <c:v>Hackauflauf mit Lauchkruste</c:v>
                </c:pt>
                <c:pt idx="106">
                  <c:v>Moussaka</c:v>
                </c:pt>
                <c:pt idx="107">
                  <c:v>Spinat-Käse-Auflauf</c:v>
                </c:pt>
                <c:pt idx="108">
                  <c:v>Möhreneintopf</c:v>
                </c:pt>
                <c:pt idx="109">
                  <c:v>Chinesische Reis - Gemüse - Pfanne</c:v>
                </c:pt>
                <c:pt idx="110">
                  <c:v>Nudeln mit Butternut- oder Hokkaidokürbis</c:v>
                </c:pt>
                <c:pt idx="111">
                  <c:v>Holzhackersteak</c:v>
                </c:pt>
                <c:pt idx="112">
                  <c:v>Zucchini-Lasagne</c:v>
                </c:pt>
                <c:pt idx="113">
                  <c:v>Knusperschnitzel mit Salat</c:v>
                </c:pt>
                <c:pt idx="114">
                  <c:v>Lamm mit Mandeln, Pistazien und Berberitzen</c:v>
                </c:pt>
                <c:pt idx="115">
                  <c:v>Überbackene Koteletts</c:v>
                </c:pt>
                <c:pt idx="116">
                  <c:v>Leipziger Klopse</c:v>
                </c:pt>
                <c:pt idx="117">
                  <c:v>Pfannkuchen mit Spinat</c:v>
                </c:pt>
                <c:pt idx="118">
                  <c:v>Hähnchenschenkel mit Kartoffel - Gemüsepfanne</c:v>
                </c:pt>
                <c:pt idx="119">
                  <c:v>Schweinehals mit pikantem Lauchgemüse und Quittengeleesauce</c:v>
                </c:pt>
                <c:pt idx="120">
                  <c:v>Das große Burggeheimnis</c:v>
                </c:pt>
                <c:pt idx="121">
                  <c:v>Pappardelle di Don Vito</c:v>
                </c:pt>
                <c:pt idx="122">
                  <c:v>Heißer Cowboy Topf</c:v>
                </c:pt>
                <c:pt idx="123">
                  <c:v>Poaca - gefüllte Teigtaschen</c:v>
                </c:pt>
                <c:pt idx="124">
                  <c:v>Chili sin Carne</c:v>
                </c:pt>
                <c:pt idx="125">
                  <c:v>Mariniertes Geflügel mit Ananassalsa und Nudelsalat</c:v>
                </c:pt>
                <c:pt idx="126">
                  <c:v>Spargel mit Sauce Hollandaise, gebratenem Schweinefilet und Kartoffelgratin</c:v>
                </c:pt>
                <c:pt idx="127">
                  <c:v>Low Carb Pizzaboden aus Zucchini</c:v>
                </c:pt>
                <c:pt idx="128">
                  <c:v>Moussaka kretische Art</c:v>
                </c:pt>
                <c:pt idx="129">
                  <c:v>Brokkoli - Fenchel - Auflauf mit Kartoffeln</c:v>
                </c:pt>
                <c:pt idx="130">
                  <c:v>Deftige Chili - Gemüsesuppe</c:v>
                </c:pt>
                <c:pt idx="131">
                  <c:v>Scharfer Auberginensalat</c:v>
                </c:pt>
                <c:pt idx="132">
                  <c:v>Mediterrane Gemüsepfanne mit Hähnchenbrustfilet</c:v>
                </c:pt>
                <c:pt idx="133">
                  <c:v>Muschelnudeln mit Lachs, Spinat und Fenchel</c:v>
                </c:pt>
                <c:pt idx="134">
                  <c:v>Annas gefüllte Zucchini im Tomatenbett</c:v>
                </c:pt>
                <c:pt idx="135">
                  <c:v>Farsumagru</c:v>
                </c:pt>
                <c:pt idx="136">
                  <c:v>Schaschlik nach Andrés Art</c:v>
                </c:pt>
                <c:pt idx="137">
                  <c:v>Couscous-Salat, lecker würzig</c:v>
                </c:pt>
                <c:pt idx="138">
                  <c:v>Femüse-Geflügel-Suppe</c:v>
                </c:pt>
                <c:pt idx="139">
                  <c:v>Spinatknödel mit Gorgonzolasauce</c:v>
                </c:pt>
                <c:pt idx="140">
                  <c:v>Lasagne</c:v>
                </c:pt>
                <c:pt idx="141">
                  <c:v>Rindergulasch</c:v>
                </c:pt>
                <c:pt idx="142">
                  <c:v>Reisauflauf mit Zwetschgensoße</c:v>
                </c:pt>
                <c:pt idx="143">
                  <c:v>Gefüllte Schmorgurke in Tomatensauce</c:v>
                </c:pt>
                <c:pt idx="144">
                  <c:v>Kürbisgratin</c:v>
                </c:pt>
                <c:pt idx="145">
                  <c:v>Putenfleischknödel mit Linsenstrudel</c:v>
                </c:pt>
                <c:pt idx="146">
                  <c:v>Ungarische Gulaschsuppe</c:v>
                </c:pt>
                <c:pt idx="147">
                  <c:v>Überbackene Cannelloni mit Brokkolifüllung</c:v>
                </c:pt>
                <c:pt idx="148">
                  <c:v>Rauke - Linsen - Salat mit Lammfilet</c:v>
                </c:pt>
                <c:pt idx="149">
                  <c:v>Kohlrabilasagne</c:v>
                </c:pt>
                <c:pt idx="150">
                  <c:v>Feta-Blattspinat-Rolle mit Sesam und süß-saurem Dip</c:v>
                </c:pt>
                <c:pt idx="151">
                  <c:v>Paprikaschnitzel mit kräftiger Paprikasauce</c:v>
                </c:pt>
                <c:pt idx="152">
                  <c:v>Spargel aus dem Ofen mit Hefe-Pfannküchlein und Paprika-Vinaigrette</c:v>
                </c:pt>
                <c:pt idx="153">
                  <c:v>Griechisches Kalbsfleisch in Tomatensoße mit Nudeln</c:v>
                </c:pt>
                <c:pt idx="154">
                  <c:v>botos Bifteki mit griechischem Tomatenreis</c:v>
                </c:pt>
                <c:pt idx="155">
                  <c:v>Salat mit Honigchampignons</c:v>
                </c:pt>
                <c:pt idx="156">
                  <c:v>Yufka mit Gemüse- und Rindfleischfüllung</c:v>
                </c:pt>
                <c:pt idx="157">
                  <c:v>Rinderfilet gratiniert mit Rotkohl und Kartoffelklößen</c:v>
                </c:pt>
                <c:pt idx="158">
                  <c:v>Bouillabaisse mit Sauce Rouille und Baguette</c:v>
                </c:pt>
                <c:pt idx="159">
                  <c:v>Rigatoni mit Hähnchen in Senf - Sahne - Sauce</c:v>
                </c:pt>
                <c:pt idx="160">
                  <c:v>Linsen-Gemüse-Kartoffel-Topf mit Putenfleisch</c:v>
                </c:pt>
                <c:pt idx="161">
                  <c:v>Hähncheneintopf à la Eddie</c:v>
                </c:pt>
                <c:pt idx="162">
                  <c:v>Nudelauflauf Winterzauber</c:v>
                </c:pt>
                <c:pt idx="163">
                  <c:v>Überbackene Koteletts</c:v>
                </c:pt>
                <c:pt idx="164">
                  <c:v>Kabeljau im Gemüsesud und Schnittlauchbutter</c:v>
                </c:pt>
                <c:pt idx="165">
                  <c:v>Gratinierter Gemüseauflauf</c:v>
                </c:pt>
                <c:pt idx="166">
                  <c:v>Gemüse aus dem Backofen</c:v>
                </c:pt>
                <c:pt idx="167">
                  <c:v>Hähnchen - Schauwarma</c:v>
                </c:pt>
                <c:pt idx="168">
                  <c:v>Hähnchencurry mit Süßkartoffeln</c:v>
                </c:pt>
                <c:pt idx="169">
                  <c:v>Kräuter - Käse - Klops</c:v>
                </c:pt>
                <c:pt idx="170">
                  <c:v>Kabeljaufilet unter Kartoffelschuppen</c:v>
                </c:pt>
                <c:pt idx="171">
                  <c:v>Gemüsespiralen-Tarte</c:v>
                </c:pt>
                <c:pt idx="172">
                  <c:v>Gefüllter Hokkaidokürbis</c:v>
                </c:pt>
                <c:pt idx="173">
                  <c:v>Tanja's Djuvec - Hähnchenpfanne</c:v>
                </c:pt>
                <c:pt idx="174">
                  <c:v>Rindersteaks auf italienisch</c:v>
                </c:pt>
                <c:pt idx="175">
                  <c:v>Surhaxe mit Sauerkraut oder Erbsmus</c:v>
                </c:pt>
                <c:pt idx="176">
                  <c:v>Hähnchen - Mango - Curry</c:v>
                </c:pt>
                <c:pt idx="177">
                  <c:v>Vegane Curry-Linsen-Bowl mit Röst-Karotten und Petersilien-Dip</c:v>
                </c:pt>
                <c:pt idx="178">
                  <c:v>Makhani Hähnchen</c:v>
                </c:pt>
                <c:pt idx="179">
                  <c:v>Hackfleisch-Picadillo</c:v>
                </c:pt>
                <c:pt idx="180">
                  <c:v>Linseneintopf kanarische Art</c:v>
                </c:pt>
                <c:pt idx="181">
                  <c:v>Putenschnitzel Italia mit klassischem Tomaten - Mozzarella - Salat</c:v>
                </c:pt>
                <c:pt idx="182">
                  <c:v>Asia-Pfanne süß-sauer</c:v>
                </c:pt>
                <c:pt idx="183">
                  <c:v>Tafelspitz mit Polenta-Nocken</c:v>
                </c:pt>
                <c:pt idx="184">
                  <c:v>Gemüse-Pizza</c:v>
                </c:pt>
                <c:pt idx="185">
                  <c:v>Spaghetti Bolognese nach Toskana Art</c:v>
                </c:pt>
                <c:pt idx="186">
                  <c:v>Backofengeheimnis</c:v>
                </c:pt>
                <c:pt idx="187">
                  <c:v>Rosenkohl-Curry</c:v>
                </c:pt>
                <c:pt idx="188">
                  <c:v>Linsen-Hackfleisch-Kuchen</c:v>
                </c:pt>
                <c:pt idx="189">
                  <c:v>Grisous leichte Tarte à la moutarde</c:v>
                </c:pt>
                <c:pt idx="190">
                  <c:v>Griechische Gemüsesuppe</c:v>
                </c:pt>
                <c:pt idx="191">
                  <c:v>Orientalischer Hackbraten</c:v>
                </c:pt>
                <c:pt idx="192">
                  <c:v>Ungarischer Nudelsalat</c:v>
                </c:pt>
                <c:pt idx="193">
                  <c:v>Spargelplatte mit Putenschnitzel im Speckmantel</c:v>
                </c:pt>
                <c:pt idx="194">
                  <c:v>Mexikanisches Hähnchen</c:v>
                </c:pt>
                <c:pt idx="195">
                  <c:v>Gebackener Feta auf gemischtem Salat mit Honigdressing</c:v>
                </c:pt>
                <c:pt idx="196">
                  <c:v>Zwiebelkuchen, schwäbischer</c:v>
                </c:pt>
                <c:pt idx="197">
                  <c:v>Zitronen-Schnitzel mit Parmesanpanade</c:v>
                </c:pt>
                <c:pt idx="198">
                  <c:v>Ossobuco à la Annette im Römertopf</c:v>
                </c:pt>
                <c:pt idx="199">
                  <c:v>Hähnchen-Reis-Pfanne</c:v>
                </c:pt>
                <c:pt idx="200">
                  <c:v>Matjessalat mit Rindfleisch</c:v>
                </c:pt>
                <c:pt idx="201">
                  <c:v>Chili con Carne à la Benjo</c:v>
                </c:pt>
                <c:pt idx="202">
                  <c:v>Hähnchen Frikassee</c:v>
                </c:pt>
                <c:pt idx="203">
                  <c:v>Cremiger Nudelauflauf mit Tomaten und Mozzarella</c:v>
                </c:pt>
                <c:pt idx="204">
                  <c:v>Gurkensuppe</c:v>
                </c:pt>
                <c:pt idx="205">
                  <c:v>Kartoffelkuchen mit Lamm und Gemüse</c:v>
                </c:pt>
                <c:pt idx="206">
                  <c:v>Gefüllte Paprika</c:v>
                </c:pt>
                <c:pt idx="207">
                  <c:v>Friedhelms Jägerpfannkuchen</c:v>
                </c:pt>
                <c:pt idx="208">
                  <c:v>Bier-Senf-Geschnetzeltes</c:v>
                </c:pt>
                <c:pt idx="209">
                  <c:v>Kartoffelgulasch</c:v>
                </c:pt>
                <c:pt idx="210">
                  <c:v>Provenzalische Schnitzel</c:v>
                </c:pt>
                <c:pt idx="211">
                  <c:v>Lachsforelle auf Gemüsebett 'sous vide' mit Süßkartoffelpüree</c:v>
                </c:pt>
                <c:pt idx="212">
                  <c:v>Lammkeule in Olivenjus mit Herzoginkartoffeln und karamellisiertem Chicoree</c:v>
                </c:pt>
                <c:pt idx="213">
                  <c:v>Römischer Mangoldfisch mit Rosmarinkartoffeln</c:v>
                </c:pt>
                <c:pt idx="214">
                  <c:v>Tomaten - Mozzarella - Steaks</c:v>
                </c:pt>
                <c:pt idx="215">
                  <c:v>Couscous mit Hähnchen, Gemüse und Champignons</c:v>
                </c:pt>
                <c:pt idx="216">
                  <c:v>Zottels Chili con Carne-Auflauf</c:v>
                </c:pt>
                <c:pt idx="217">
                  <c:v>Spargelgemüse mit Mettbällchen</c:v>
                </c:pt>
                <c:pt idx="218">
                  <c:v>Ravioli mit Puten-Tomaten Füllung</c:v>
                </c:pt>
                <c:pt idx="219">
                  <c:v>Burritos</c:v>
                </c:pt>
                <c:pt idx="220">
                  <c:v>Kichererbsensuppe mit Süßkartoffeln und Paprikawurst</c:v>
                </c:pt>
                <c:pt idx="221">
                  <c:v>Rotbarschfilet mit Erdnusspanade und Pilzgemüse</c:v>
                </c:pt>
                <c:pt idx="222">
                  <c:v>Vegetarische Lasagne mit Auberginen</c:v>
                </c:pt>
                <c:pt idx="223">
                  <c:v>Mexikanischer Tomatenauflauf</c:v>
                </c:pt>
                <c:pt idx="224">
                  <c:v>Huhn nach Kap Malayischer Art</c:v>
                </c:pt>
                <c:pt idx="225">
                  <c:v>Reistopf mit Hähnchen und Erbsen</c:v>
                </c:pt>
                <c:pt idx="226">
                  <c:v>Makkaroni - Kuchen</c:v>
                </c:pt>
                <c:pt idx="227">
                  <c:v>Spargel überbacken, mit Tomate und Spinat</c:v>
                </c:pt>
                <c:pt idx="228">
                  <c:v>Schneller Stroganoff mit süß - sauren Backkartoffeln</c:v>
                </c:pt>
                <c:pt idx="229">
                  <c:v>Pflaumen-Tofu-Ravioli in Kürbis-Rote Bete-Sauce, vegan</c:v>
                </c:pt>
                <c:pt idx="230">
                  <c:v>Einfache Paella mit Chorizo und Hähnchenkeulen</c:v>
                </c:pt>
                <c:pt idx="231">
                  <c:v>English Chicken Pie</c:v>
                </c:pt>
                <c:pt idx="232">
                  <c:v>Hackfleisch - Gemüse - Auflauf mit Reis</c:v>
                </c:pt>
                <c:pt idx="233">
                  <c:v>Bäuerinnensuppe</c:v>
                </c:pt>
                <c:pt idx="234">
                  <c:v>Fischlasagne</c:v>
                </c:pt>
                <c:pt idx="235">
                  <c:v>Manti mit Joghurtsauce und Paprikabutter</c:v>
                </c:pt>
                <c:pt idx="236">
                  <c:v>Brillas Kürbiseintopf</c:v>
                </c:pt>
                <c:pt idx="237">
                  <c:v>Backofen - Fisch</c:v>
                </c:pt>
                <c:pt idx="238">
                  <c:v>Brokkolireis mit Käsehaube</c:v>
                </c:pt>
                <c:pt idx="239">
                  <c:v>Involtini von der Pute auf Blattspinat mit Polentaschnitte und Tomatensauce</c:v>
                </c:pt>
                <c:pt idx="240">
                  <c:v>Vegetarische Cevapcici für den Grill</c:v>
                </c:pt>
                <c:pt idx="241">
                  <c:v>Zucchini – Piccata auf Tomatenkompott mit Rucolapesto und Nudeln</c:v>
                </c:pt>
                <c:pt idx="242">
                  <c:v>Italienischer Herbsteintopf</c:v>
                </c:pt>
                <c:pt idx="243">
                  <c:v>Hähnchen-Gemüse-Pfanne</c:v>
                </c:pt>
                <c:pt idx="244">
                  <c:v>Hähnchen - Piccata mit Tomatensoße</c:v>
                </c:pt>
                <c:pt idx="245">
                  <c:v>Orientalischer Zimt-Hackfleischtopf</c:v>
                </c:pt>
                <c:pt idx="246">
                  <c:v>Bunter Kürbis - Kartoffel - Auflauf</c:v>
                </c:pt>
                <c:pt idx="247">
                  <c:v>Marinierter Lachs an Ratatouillesalat mit Rucolapesto und Brot</c:v>
                </c:pt>
                <c:pt idx="248">
                  <c:v>Cremesuppe aus gelben Paprikaschoten</c:v>
                </c:pt>
                <c:pt idx="249">
                  <c:v>Galloway im Kürbisfeld</c:v>
                </c:pt>
                <c:pt idx="250">
                  <c:v>Gemüsekuchen</c:v>
                </c:pt>
                <c:pt idx="251">
                  <c:v>Spargel auf Kartoffelpuffer</c:v>
                </c:pt>
                <c:pt idx="252">
                  <c:v>Paniertes Kalbssteak auf spanische Art</c:v>
                </c:pt>
                <c:pt idx="253">
                  <c:v>Mini-Party-Quiches</c:v>
                </c:pt>
                <c:pt idx="254">
                  <c:v>Vegetarisches Gemüsecurry</c:v>
                </c:pt>
                <c:pt idx="255">
                  <c:v>Feurig scharfe Zucchinisuppe mit Hackbällchen</c:v>
                </c:pt>
                <c:pt idx="256">
                  <c:v>Wiener Schnitzel mit Spargel</c:v>
                </c:pt>
                <c:pt idx="257">
                  <c:v>Bulgur Buddha Bowl</c:v>
                </c:pt>
                <c:pt idx="258">
                  <c:v>Gemüseauflauf aus dem Terracotta Topf</c:v>
                </c:pt>
                <c:pt idx="259">
                  <c:v>Chilibällchen mit Fetakäse und Paprikagemüse</c:v>
                </c:pt>
                <c:pt idx="260">
                  <c:v>Karibischer Schweinebraten</c:v>
                </c:pt>
                <c:pt idx="261">
                  <c:v>Böhmischer Kartoffelsalat</c:v>
                </c:pt>
                <c:pt idx="262">
                  <c:v>Kichererbsen-Oliven-Salat</c:v>
                </c:pt>
                <c:pt idx="263">
                  <c:v>Ungarische gefüllte Kohlrouladen</c:v>
                </c:pt>
                <c:pt idx="264">
                  <c:v>Kürbistortellini weihnachtlich gewürzt</c:v>
                </c:pt>
                <c:pt idx="265">
                  <c:v>Mexikanische Gemüsesuppe</c:v>
                </c:pt>
                <c:pt idx="266">
                  <c:v>Sächsischer Herings-Kartoffelsalat</c:v>
                </c:pt>
                <c:pt idx="267">
                  <c:v>Mediterrane Kartoffelpfanne</c:v>
                </c:pt>
                <c:pt idx="268">
                  <c:v>Österreichischer Kaiserschmarrn</c:v>
                </c:pt>
                <c:pt idx="269">
                  <c:v>Nudeln mit Belugalinsen</c:v>
                </c:pt>
                <c:pt idx="270">
                  <c:v>Mecklenburger Bunte Katze mit Karottensalat</c:v>
                </c:pt>
                <c:pt idx="271">
                  <c:v>Steckerlfisch mit Kartoffel - Zuccini - Paprika - Gemüse</c:v>
                </c:pt>
                <c:pt idx="272">
                  <c:v>Fischsuppe</c:v>
                </c:pt>
                <c:pt idx="273">
                  <c:v>Chili - Gulasch</c:v>
                </c:pt>
                <c:pt idx="274">
                  <c:v>Blumenkohlauflauf mit Hackbällchen</c:v>
                </c:pt>
                <c:pt idx="275">
                  <c:v>Nomadenmahl</c:v>
                </c:pt>
                <c:pt idx="276">
                  <c:v>Arabische Kichererbsen-Spinat Suppe</c:v>
                </c:pt>
                <c:pt idx="277">
                  <c:v>Pastinakenbratlinge mit Wirsingpüree</c:v>
                </c:pt>
                <c:pt idx="278">
                  <c:v>Chinesische Nudelpfanne</c:v>
                </c:pt>
                <c:pt idx="279">
                  <c:v>Hasenrücken mit Apfelsoße</c:v>
                </c:pt>
                <c:pt idx="280">
                  <c:v>Zucchini - Tomatensauce</c:v>
                </c:pt>
                <c:pt idx="281">
                  <c:v>Champignon - Nudel - Muffins</c:v>
                </c:pt>
                <c:pt idx="282">
                  <c:v>Nudel - Tortilla</c:v>
                </c:pt>
                <c:pt idx="283">
                  <c:v>Blätterteig - Pie mit Hackfleisch - Spinat Füllung</c:v>
                </c:pt>
                <c:pt idx="284">
                  <c:v>Wachtel mit Spargel</c:v>
                </c:pt>
                <c:pt idx="285">
                  <c:v>Leichter Kochfisch mit Senfgemüse</c:v>
                </c:pt>
                <c:pt idx="286">
                  <c:v>Kalbsgeschnetzeltes Bombay</c:v>
                </c:pt>
                <c:pt idx="287">
                  <c:v>Tortellinisalat italienische Art</c:v>
                </c:pt>
                <c:pt idx="288">
                  <c:v>Blumenkohl - Gratin mit Sesam</c:v>
                </c:pt>
                <c:pt idx="289">
                  <c:v>Gemüseschnecken mit Lauchsoße</c:v>
                </c:pt>
                <c:pt idx="290">
                  <c:v>Ossobuco mit Röstgemüse</c:v>
                </c:pt>
                <c:pt idx="291">
                  <c:v>Chefkoch Kirsch-BBQ-Burger</c:v>
                </c:pt>
                <c:pt idx="292">
                  <c:v>Auberginen - Kartoffel - Auflauf mit Hackfleisch</c:v>
                </c:pt>
                <c:pt idx="293">
                  <c:v>Tansanische Fischpfanne mit Spinat</c:v>
                </c:pt>
                <c:pt idx="294">
                  <c:v>Tatarfrikadellen mit buntem Gemüse und Röstkartoffeln</c:v>
                </c:pt>
                <c:pt idx="295">
                  <c:v>Räuberfleisch</c:v>
                </c:pt>
                <c:pt idx="296">
                  <c:v>Mexikanische Enchilada-Lasagne</c:v>
                </c:pt>
                <c:pt idx="297">
                  <c:v>Schaschlik vegetarisch</c:v>
                </c:pt>
                <c:pt idx="298">
                  <c:v>Süßkartoffel-Curry</c:v>
                </c:pt>
                <c:pt idx="299">
                  <c:v>Kartoffel-Gemüsetortilla mit Kräuterquark</c:v>
                </c:pt>
                <c:pt idx="300">
                  <c:v>Jungfern - Braten</c:v>
                </c:pt>
                <c:pt idx="301">
                  <c:v>Putenspieße auf Tomatenreis</c:v>
                </c:pt>
                <c:pt idx="302">
                  <c:v>Sommernachts - Lachsfilet</c:v>
                </c:pt>
                <c:pt idx="303">
                  <c:v>Forelle im Salzteig</c:v>
                </c:pt>
                <c:pt idx="304">
                  <c:v>Bunter Erdäpfelsalat mit Frankfurter</c:v>
                </c:pt>
                <c:pt idx="305">
                  <c:v>Manti - Türkische Tortellini</c:v>
                </c:pt>
                <c:pt idx="306">
                  <c:v>Kartoffel - Zucchini - Porree - Auflauf mit Hack</c:v>
                </c:pt>
                <c:pt idx="307">
                  <c:v>Avocado-Mango-Salat mit Hähnchen</c:v>
                </c:pt>
                <c:pt idx="308">
                  <c:v>Süßer Topfen - Reis - Auflauf</c:v>
                </c:pt>
                <c:pt idx="309">
                  <c:v>Kürbis, Kartoffeln und Hähnchenschenkel aus dem Backofen</c:v>
                </c:pt>
                <c:pt idx="310">
                  <c:v>Gnocchi mit Avocado-Basilikum-Pesto</c:v>
                </c:pt>
                <c:pt idx="311">
                  <c:v>Nasi Goreng</c:v>
                </c:pt>
                <c:pt idx="312">
                  <c:v>Wildschweinrücken in Adventsgewürzen mit Kartoffelknödel in Rotkohl-Preiselbeermantel</c:v>
                </c:pt>
                <c:pt idx="313">
                  <c:v>Seezungen mit Erdbeerchutney</c:v>
                </c:pt>
                <c:pt idx="314">
                  <c:v>Schinkennudeln mit Gemüse</c:v>
                </c:pt>
                <c:pt idx="315">
                  <c:v>Gulaschsuppe à la Tick</c:v>
                </c:pt>
                <c:pt idx="316">
                  <c:v>Vegetarisches Frühlingspfännchen mit Feta-Käse</c:v>
                </c:pt>
                <c:pt idx="317">
                  <c:v>Spaghetti mit Gemüse-Bolognese</c:v>
                </c:pt>
                <c:pt idx="318">
                  <c:v>Kürbisauflauf mit Hackfleisch</c:v>
                </c:pt>
                <c:pt idx="319">
                  <c:v>Karpfen in Mandelkruste</c:v>
                </c:pt>
                <c:pt idx="320">
                  <c:v>Nudeln mit Lachs, Spinat und Ziegenkäse</c:v>
                </c:pt>
                <c:pt idx="321">
                  <c:v>Fencheleintopf mit Parmesankartoffeln</c:v>
                </c:pt>
                <c:pt idx="322">
                  <c:v>Echte Gulaschsuppe</c:v>
                </c:pt>
                <c:pt idx="323">
                  <c:v>Nudelsalat mediterran</c:v>
                </c:pt>
                <c:pt idx="324">
                  <c:v>Portugiesische Fischpfanne</c:v>
                </c:pt>
                <c:pt idx="325">
                  <c:v>Bunter Nudeltopf</c:v>
                </c:pt>
                <c:pt idx="326">
                  <c:v>Spinat-Quark Lasagne</c:v>
                </c:pt>
                <c:pt idx="327">
                  <c:v>Forellen auf Fenchel-Tomaten Gemüse</c:v>
                </c:pt>
                <c:pt idx="328">
                  <c:v>Gefüllte Paprika mit Hackfleisch und Reis</c:v>
                </c:pt>
                <c:pt idx="329">
                  <c:v>Reef and Beef</c:v>
                </c:pt>
                <c:pt idx="330">
                  <c:v>Soljanka nach Mama Art</c:v>
                </c:pt>
                <c:pt idx="331">
                  <c:v>Lammlachse mit Kräuterkruste auf einer Bohnentrilogie und Kartoffel-Kresse-Püree</c:v>
                </c:pt>
                <c:pt idx="332">
                  <c:v>Hühnchen mit Bacon-Alfredo-Füllung</c:v>
                </c:pt>
                <c:pt idx="333">
                  <c:v>Schafhirten - Pie</c:v>
                </c:pt>
                <c:pt idx="334">
                  <c:v>Puszta-Suppe mit Mettbällchen und Sauerkraut</c:v>
                </c:pt>
                <c:pt idx="335">
                  <c:v>Auflauf mit Buttergemüse, Rosenkohl und Mettenden</c:v>
                </c:pt>
                <c:pt idx="336">
                  <c:v>Pikanter Kartoffelsalat mit Nusskernen</c:v>
                </c:pt>
                <c:pt idx="337">
                  <c:v>Finnische Hackfleischbällchen</c:v>
                </c:pt>
                <c:pt idx="338">
                  <c:v>Hähnchen-Ananas-Curry mit Reis</c:v>
                </c:pt>
                <c:pt idx="339">
                  <c:v>Hackfleischtopf mit Sommergemüse</c:v>
                </c:pt>
                <c:pt idx="340">
                  <c:v>Khoreshe Albaloo</c:v>
                </c:pt>
                <c:pt idx="341">
                  <c:v>Steckrübeneintopf mit Gremolata</c:v>
                </c:pt>
                <c:pt idx="342">
                  <c:v>Thai Curry</c:v>
                </c:pt>
                <c:pt idx="343">
                  <c:v>Rheinischer Heringssalat</c:v>
                </c:pt>
                <c:pt idx="344">
                  <c:v>Hähnchen in Honig-Sesam Sauce und Gemüse</c:v>
                </c:pt>
                <c:pt idx="345">
                  <c:v>Grüne Bohnensuppe auf ungarische Art</c:v>
                </c:pt>
                <c:pt idx="346">
                  <c:v>Koteletts im mediterranem Gemüsebett</c:v>
                </c:pt>
                <c:pt idx="347">
                  <c:v>Gulasch vom Reh</c:v>
                </c:pt>
                <c:pt idx="348">
                  <c:v>Schweinemedaillons in Pfefferrahmsauce</c:v>
                </c:pt>
                <c:pt idx="349">
                  <c:v>Pikante Gyrossuppe</c:v>
                </c:pt>
                <c:pt idx="350">
                  <c:v>Frittata</c:v>
                </c:pt>
                <c:pt idx="351">
                  <c:v>Makkaroni in Tomatensahnesoße</c:v>
                </c:pt>
                <c:pt idx="352">
                  <c:v>Maiscremesuppe mit Bacon</c:v>
                </c:pt>
                <c:pt idx="353">
                  <c:v>Nudeln in Schinken-Pilz-Soße</c:v>
                </c:pt>
                <c:pt idx="354">
                  <c:v>Crespelle alla Bolognese</c:v>
                </c:pt>
                <c:pt idx="355">
                  <c:v>Leber in Tomaten-Zwiebelsauce</c:v>
                </c:pt>
                <c:pt idx="356">
                  <c:v>Gemüsepfanne</c:v>
                </c:pt>
                <c:pt idx="357">
                  <c:v>Fisolenrostbraten mit bunter Semmelknödeltorte</c:v>
                </c:pt>
                <c:pt idx="358">
                  <c:v>Bärlauch - Pizza mit Salami</c:v>
                </c:pt>
                <c:pt idx="359">
                  <c:v>Feurige Hühnerbeinchen</c:v>
                </c:pt>
                <c:pt idx="360">
                  <c:v>Gratin mit Kohlrabi und Hackfleisch</c:v>
                </c:pt>
                <c:pt idx="361">
                  <c:v>Steckrübentaler auf Gemüse mit Sanddornrahm</c:v>
                </c:pt>
                <c:pt idx="362">
                  <c:v>Gefüllte Cannelloni mit Schinken Käse</c:v>
                </c:pt>
                <c:pt idx="363">
                  <c:v>Spinat-Crespelle mit Schinken und Tomaten</c:v>
                </c:pt>
                <c:pt idx="364">
                  <c:v>Hähnchenbruststreifen mit Pflaumen-Schoko Sauce</c:v>
                </c:pt>
                <c:pt idx="365">
                  <c:v>Bärlauch - Pfannkuchen mit Spargel - Schinkenfüllung</c:v>
                </c:pt>
                <c:pt idx="366">
                  <c:v>Buntes Chili con carne</c:v>
                </c:pt>
                <c:pt idx="367">
                  <c:v>Ungarische Paprikanudeln</c:v>
                </c:pt>
                <c:pt idx="368">
                  <c:v>Kaninchen mit Nudeln</c:v>
                </c:pt>
                <c:pt idx="369">
                  <c:v>Gefülltes Gemüse</c:v>
                </c:pt>
                <c:pt idx="370">
                  <c:v>Marinierter Schweinerücken</c:v>
                </c:pt>
                <c:pt idx="371">
                  <c:v>Forellensalat mit Dillkartoffeln</c:v>
                </c:pt>
                <c:pt idx="372">
                  <c:v>Mittelalterliche Lutherpfanne</c:v>
                </c:pt>
                <c:pt idx="373">
                  <c:v>Arroz à la Cubanais</c:v>
                </c:pt>
                <c:pt idx="374">
                  <c:v>Fisch - Cazuela</c:v>
                </c:pt>
                <c:pt idx="375">
                  <c:v>Geschmorter Tafelspitz vom Kalb</c:v>
                </c:pt>
                <c:pt idx="376">
                  <c:v>Pasta mit Auberginen-Zucchini-Sugo</c:v>
                </c:pt>
                <c:pt idx="377">
                  <c:v>Feines Rindsfrikassee mit Spargel und Champignons</c:v>
                </c:pt>
                <c:pt idx="378">
                  <c:v>Grünkernauflauf mit Gemüse</c:v>
                </c:pt>
                <c:pt idx="379">
                  <c:v>Gemüse - Lasagne</c:v>
                </c:pt>
                <c:pt idx="380">
                  <c:v>Lachsfilet mit Nüssen auf Kürbis - Minze - Püree</c:v>
                </c:pt>
                <c:pt idx="381">
                  <c:v>Vegetarische Gemüse - Pilz - Cannelloni</c:v>
                </c:pt>
                <c:pt idx="382">
                  <c:v>Gefülltes Hähnchenbrustfilet auf Sommersalat mit Quinoa</c:v>
                </c:pt>
                <c:pt idx="383">
                  <c:v>Marinierter Tofu auf Linsensalat</c:v>
                </c:pt>
                <c:pt idx="384">
                  <c:v>Hähnchen süßsauer wie im Chinarestaurant</c:v>
                </c:pt>
                <c:pt idx="385">
                  <c:v>Türkischer grüne Bohnentopf</c:v>
                </c:pt>
                <c:pt idx="386">
                  <c:v>Hähnchenspieß mit Speckbananen</c:v>
                </c:pt>
                <c:pt idx="387">
                  <c:v>Würzig gefüllte Pita-Brote</c:v>
                </c:pt>
                <c:pt idx="388">
                  <c:v>Putengeschnetzeltes mit Karotten-Orangen-Soße</c:v>
                </c:pt>
                <c:pt idx="389">
                  <c:v>Japanische Nudelsuppe mit Hühnerbrühe und Schweinefilet-Ramen</c:v>
                </c:pt>
                <c:pt idx="390">
                  <c:v>Lammkotelettes auf Tomatenreis</c:v>
                </c:pt>
                <c:pt idx="391">
                  <c:v>Fisch mit Lauch und Tomaten auf Linsenbett</c:v>
                </c:pt>
                <c:pt idx="392">
                  <c:v>Original Odenwälder Hexenpfännchen</c:v>
                </c:pt>
                <c:pt idx="393">
                  <c:v>Teigtaschen mit Hackfleisch</c:v>
                </c:pt>
                <c:pt idx="394">
                  <c:v>SABO - Spaghetti mit Huhn und Gorgonzola</c:v>
                </c:pt>
                <c:pt idx="395">
                  <c:v>Pikanter Wirsingkohlauflauf</c:v>
                </c:pt>
                <c:pt idx="396">
                  <c:v>Asiatische Nudelpfanne</c:v>
                </c:pt>
                <c:pt idx="397">
                  <c:v>Texas Jailhouse Chili</c:v>
                </c:pt>
                <c:pt idx="398">
                  <c:v>Falscher Hase mit glacierten Möhren und Spätzle</c:v>
                </c:pt>
                <c:pt idx="399">
                  <c:v>Bratwurst - Puffer</c:v>
                </c:pt>
                <c:pt idx="400">
                  <c:v>Mandel - Geflügelsalat</c:v>
                </c:pt>
                <c:pt idx="401">
                  <c:v>Gebratene Nudeln mit Entenbrust</c:v>
                </c:pt>
                <c:pt idx="402">
                  <c:v>Gefüllte Entenkeule mit grünem Selleriepüree und Rotkohl</c:v>
                </c:pt>
                <c:pt idx="403">
                  <c:v>Spargel auf Eierkuchen mit Schinken und weißer Sauce mit Gorgonzola</c:v>
                </c:pt>
                <c:pt idx="404">
                  <c:v>Pizza Low Carb</c:v>
                </c:pt>
                <c:pt idx="405">
                  <c:v>Nizzaer Salat</c:v>
                </c:pt>
                <c:pt idx="406">
                  <c:v>Soja-Lauch-Torte mit Nüssen</c:v>
                </c:pt>
                <c:pt idx="407">
                  <c:v>Bolognese vegan</c:v>
                </c:pt>
                <c:pt idx="408">
                  <c:v>Babooti mit Lamm und Aprikosen</c:v>
                </c:pt>
                <c:pt idx="409">
                  <c:v>Butter mit Honig cremig rühren. Eier und das Vanillemark einrühren. Beide Mehlsorten mit Backpulver mischen. Die Mischung in die Eiermasse einrühren</c:v>
                </c:pt>
                <c:pt idx="410">
                  <c:v>Kürbis-Flammkuchen</c:v>
                </c:pt>
                <c:pt idx="411">
                  <c:v>Blaubeersuppe mit Grießklößchen</c:v>
                </c:pt>
                <c:pt idx="412">
                  <c:v>Blaubeerenauflauf</c:v>
                </c:pt>
                <c:pt idx="413">
                  <c:v>Blaubeerauflauf</c:v>
                </c:pt>
                <c:pt idx="414">
                  <c:v>Rehfilet in Vanille-Blume und Blaubeersauce mit Pfifferlingsknödeln</c:v>
                </c:pt>
                <c:pt idx="415">
                  <c:v>Lamm auf maurische Art</c:v>
                </c:pt>
                <c:pt idx="416">
                  <c:v>Heringsfilets auf Lauchzwiebeln und Tomaten</c:v>
                </c:pt>
                <c:pt idx="417">
                  <c:v>Rotkohl - Borschtsch mit Feigen</c:v>
                </c:pt>
                <c:pt idx="418">
                  <c:v>Fasanenbrust auf Zuckerschotenstroh mit Graupenrisotto an reduziertem Wildvogelfond</c:v>
                </c:pt>
                <c:pt idx="419">
                  <c:v>Staudensellerie-Möhren-Rosinenpfanne</c:v>
                </c:pt>
                <c:pt idx="420">
                  <c:v>Schweinefilet mit Feigen</c:v>
                </c:pt>
                <c:pt idx="421">
                  <c:v>Zanderfilet auf bayrisch Rahmkraut</c:v>
                </c:pt>
                <c:pt idx="422">
                  <c:v>Rahmbuchteln mit Kirschen</c:v>
                </c:pt>
                <c:pt idx="423">
                  <c:v>Kirschenmichel</c:v>
                </c:pt>
                <c:pt idx="424">
                  <c:v>Rehkeule mit Printensauce</c:v>
                </c:pt>
                <c:pt idx="425">
                  <c:v>Süße Lasagne</c:v>
                </c:pt>
                <c:pt idx="426">
                  <c:v>Warnemünder Heringssalat</c:v>
                </c:pt>
                <c:pt idx="427">
                  <c:v>Fruchtiger Nudelsalat</c:v>
                </c:pt>
                <c:pt idx="428">
                  <c:v>Putenschnitzel mit fruchtigem Reis - Curry</c:v>
                </c:pt>
                <c:pt idx="429">
                  <c:v>Indischer Gemüsereis mit Mandarinen</c:v>
                </c:pt>
                <c:pt idx="430">
                  <c:v>Ausgebackener Fisch mit süß - saurer Sauce</c:v>
                </c:pt>
                <c:pt idx="431">
                  <c:v>Wassermelonen-Gazpacho</c:v>
                </c:pt>
                <c:pt idx="432">
                  <c:v>Melonen-Gurken-Salat mit Minze und gerösteten Walnüssen</c:v>
                </c:pt>
                <c:pt idx="433">
                  <c:v>Melonen - Schafskäse Salatschiffche</c:v>
                </c:pt>
                <c:pt idx="434">
                  <c:v>Spanische Honigmelonensuppe</c:v>
                </c:pt>
                <c:pt idx="435">
                  <c:v>Zwetschgen - Rohrnudeln</c:v>
                </c:pt>
                <c:pt idx="436">
                  <c:v>Spätzli Tropical</c:v>
                </c:pt>
                <c:pt idx="437">
                  <c:v>Kabeljau mit Roter Bete</c:v>
                </c:pt>
                <c:pt idx="438">
                  <c:v>Winterlicher Maultaschensalat</c:v>
                </c:pt>
                <c:pt idx="439">
                  <c:v>Gewürz - Entenschlegel mit Steckrübenpüree</c:v>
                </c:pt>
                <c:pt idx="440">
                  <c:v>Schwalbennester mit zartem Gemüse</c:v>
                </c:pt>
                <c:pt idx="441">
                  <c:v>Rotkrautwickel aus dem Backofen</c:v>
                </c:pt>
                <c:pt idx="442">
                  <c:v>Gebratener Reis mit Hühnchen</c:v>
                </c:pt>
                <c:pt idx="443">
                  <c:v>Grießbrei mit Getreidesprossen</c:v>
                </c:pt>
                <c:pt idx="444">
                  <c:v>Spargel mit Poulet in Kokossauce</c:v>
                </c:pt>
                <c:pt idx="445">
                  <c:v>Chinakohlpfanne mit Bandnudeln</c:v>
                </c:pt>
              </c:strCache>
            </c:strRef>
          </c:xVal>
          <c:yVal>
            <c:numRef>
              <c:f>Rezept_Daten!$H$3:$H$448</c:f>
              <c:numCache>
                <c:formatCode>General</c:formatCode>
                <c:ptCount val="446"/>
                <c:pt idx="0">
                  <c:v>1.510924401470684</c:v>
                </c:pt>
                <c:pt idx="1">
                  <c:v>2.6723849759300986</c:v>
                </c:pt>
                <c:pt idx="2">
                  <c:v>0.92058475701729892</c:v>
                </c:pt>
                <c:pt idx="3">
                  <c:v>1.2064040365137951</c:v>
                </c:pt>
                <c:pt idx="4">
                  <c:v>3.2342011429384678</c:v>
                </c:pt>
                <c:pt idx="5">
                  <c:v>3.5446120179203815</c:v>
                </c:pt>
                <c:pt idx="6">
                  <c:v>1.9187214924992455</c:v>
                </c:pt>
                <c:pt idx="7">
                  <c:v>1.4712958589397838</c:v>
                </c:pt>
                <c:pt idx="8">
                  <c:v>1.4612140342991928</c:v>
                </c:pt>
                <c:pt idx="9">
                  <c:v>3.1134504770234663</c:v>
                </c:pt>
                <c:pt idx="10">
                  <c:v>0.56473073722475364</c:v>
                </c:pt>
                <c:pt idx="11">
                  <c:v>2.9602791369343384</c:v>
                </c:pt>
                <c:pt idx="12">
                  <c:v>2.0954255924138758</c:v>
                </c:pt>
                <c:pt idx="13">
                  <c:v>1.9112367294874053</c:v>
                </c:pt>
                <c:pt idx="14">
                  <c:v>0.85771915413384825</c:v>
                </c:pt>
                <c:pt idx="15">
                  <c:v>0.98031985315305681</c:v>
                </c:pt>
                <c:pt idx="16">
                  <c:v>3.2597200661124655</c:v>
                </c:pt>
                <c:pt idx="17">
                  <c:v>2.4348405987522224</c:v>
                </c:pt>
                <c:pt idx="18">
                  <c:v>2.8964819508999717</c:v>
                </c:pt>
                <c:pt idx="19">
                  <c:v>4.5960584045511723</c:v>
                </c:pt>
                <c:pt idx="20">
                  <c:v>1.1693000027859672</c:v>
                </c:pt>
                <c:pt idx="21">
                  <c:v>2.6723849759300986</c:v>
                </c:pt>
                <c:pt idx="22">
                  <c:v>1.3778475463441517</c:v>
                </c:pt>
                <c:pt idx="23">
                  <c:v>0.88956783819604412</c:v>
                </c:pt>
                <c:pt idx="24">
                  <c:v>2.1482034385314623</c:v>
                </c:pt>
                <c:pt idx="25">
                  <c:v>2.3559559859570429</c:v>
                </c:pt>
                <c:pt idx="26">
                  <c:v>3.6166431048820851</c:v>
                </c:pt>
                <c:pt idx="27">
                  <c:v>3.3519320202797225</c:v>
                </c:pt>
                <c:pt idx="28">
                  <c:v>1.6682315682955657</c:v>
                </c:pt>
                <c:pt idx="29">
                  <c:v>0.40628897794214458</c:v>
                </c:pt>
                <c:pt idx="30">
                  <c:v>1.7944958129908057</c:v>
                </c:pt>
                <c:pt idx="31">
                  <c:v>1.8343813381649823</c:v>
                </c:pt>
                <c:pt idx="32">
                  <c:v>2.4293195386089161</c:v>
                </c:pt>
                <c:pt idx="33">
                  <c:v>1.3118563306603859</c:v>
                </c:pt>
                <c:pt idx="34">
                  <c:v>1.4408323115484225</c:v>
                </c:pt>
                <c:pt idx="35">
                  <c:v>0.95082021240956349</c:v>
                </c:pt>
                <c:pt idx="36">
                  <c:v>2.757740155913126</c:v>
                </c:pt>
                <c:pt idx="37">
                  <c:v>2.5157033786838552</c:v>
                </c:pt>
                <c:pt idx="38">
                  <c:v>2.0270146991393085</c:v>
                </c:pt>
                <c:pt idx="39">
                  <c:v>2.4458323593269649</c:v>
                </c:pt>
                <c:pt idx="40">
                  <c:v>0.77407808215564744</c:v>
                </c:pt>
                <c:pt idx="41">
                  <c:v>4.0333576506947706</c:v>
                </c:pt>
                <c:pt idx="42">
                  <c:v>0.95082021240956349</c:v>
                </c:pt>
                <c:pt idx="43">
                  <c:v>1.8961610346231956</c:v>
                </c:pt>
                <c:pt idx="44">
                  <c:v>2.3443964178451431</c:v>
                </c:pt>
                <c:pt idx="45">
                  <c:v>2.1351633731509629</c:v>
                </c:pt>
                <c:pt idx="46">
                  <c:v>2.4730236182934187</c:v>
                </c:pt>
                <c:pt idx="47">
                  <c:v>3.4865872787490026</c:v>
                </c:pt>
                <c:pt idx="48">
                  <c:v>1.8732759418174041</c:v>
                </c:pt>
                <c:pt idx="49">
                  <c:v>2.3210480683165677</c:v>
                </c:pt>
                <c:pt idx="50">
                  <c:v>1.5494888105519129</c:v>
                </c:pt>
                <c:pt idx="51">
                  <c:v>1.694337672333798</c:v>
                </c:pt>
                <c:pt idx="52">
                  <c:v>2.5051263332830249</c:v>
                </c:pt>
                <c:pt idx="53">
                  <c:v>2.236788260271231</c:v>
                </c:pt>
                <c:pt idx="54">
                  <c:v>1.4912475479839058</c:v>
                </c:pt>
                <c:pt idx="55">
                  <c:v>1.8105728180720528</c:v>
                </c:pt>
                <c:pt idx="56">
                  <c:v>3.0180544545130683</c:v>
                </c:pt>
                <c:pt idx="57">
                  <c:v>1.539943741847444</c:v>
                </c:pt>
                <c:pt idx="58">
                  <c:v>1.2660125312060875</c:v>
                </c:pt>
                <c:pt idx="59">
                  <c:v>0.99480687797681</c:v>
                </c:pt>
                <c:pt idx="60">
                  <c:v>4.0692669300803717</c:v>
                </c:pt>
                <c:pt idx="61">
                  <c:v>2.3845300792683028</c:v>
                </c:pt>
                <c:pt idx="62">
                  <c:v>1.6054830385694356</c:v>
                </c:pt>
                <c:pt idx="63">
                  <c:v>4.2247087238066285</c:v>
                </c:pt>
                <c:pt idx="64">
                  <c:v>1.7199999999999998</c:v>
                </c:pt>
                <c:pt idx="65">
                  <c:v>1.6505716872266114</c:v>
                </c:pt>
                <c:pt idx="66">
                  <c:v>1.4712958589397838</c:v>
                </c:pt>
                <c:pt idx="67">
                  <c:v>2.0059255259273892</c:v>
                </c:pt>
                <c:pt idx="68">
                  <c:v>2.0478365668918332</c:v>
                </c:pt>
                <c:pt idx="69">
                  <c:v>1.1311054085932239</c:v>
                </c:pt>
                <c:pt idx="70">
                  <c:v>2.4348405987522224</c:v>
                </c:pt>
                <c:pt idx="71">
                  <c:v>2.1351633731509629</c:v>
                </c:pt>
                <c:pt idx="72">
                  <c:v>2.0059255259273892</c:v>
                </c:pt>
                <c:pt idx="73">
                  <c:v>1.6327002997193745</c:v>
                </c:pt>
                <c:pt idx="74">
                  <c:v>2.1087764015242563</c:v>
                </c:pt>
                <c:pt idx="75">
                  <c:v>1.9187214924992455</c:v>
                </c:pt>
                <c:pt idx="76">
                  <c:v>2.1286053444523985</c:v>
                </c:pt>
                <c:pt idx="77">
                  <c:v>0.30306032545784278</c:v>
                </c:pt>
                <c:pt idx="78">
                  <c:v>2.8035776300561137</c:v>
                </c:pt>
                <c:pt idx="79">
                  <c:v>2.4998148567641012</c:v>
                </c:pt>
                <c:pt idx="80">
                  <c:v>3.5980719558818466</c:v>
                </c:pt>
                <c:pt idx="81">
                  <c:v>4.3370126525444963</c:v>
                </c:pt>
                <c:pt idx="82">
                  <c:v>1.05111378380106</c:v>
                </c:pt>
                <c:pt idx="83">
                  <c:v>1.0091252446416656</c:v>
                </c:pt>
                <c:pt idx="84">
                  <c:v>2.729707942231367</c:v>
                </c:pt>
                <c:pt idx="85">
                  <c:v>0.30306032545784278</c:v>
                </c:pt>
                <c:pt idx="86">
                  <c:v>1.3991601523134567</c:v>
                </c:pt>
                <c:pt idx="87">
                  <c:v>3.6774786513893547</c:v>
                </c:pt>
                <c:pt idx="88">
                  <c:v>2.5418830585135135</c:v>
                </c:pt>
                <c:pt idx="89">
                  <c:v>1.6327002997193745</c:v>
                </c:pt>
                <c:pt idx="90">
                  <c:v>1.8500547718209361</c:v>
                </c:pt>
                <c:pt idx="91">
                  <c:v>1.4510599371819746</c:v>
                </c:pt>
                <c:pt idx="92">
                  <c:v>3.0781926374783746</c:v>
                </c:pt>
                <c:pt idx="93">
                  <c:v>2.4730236182934187</c:v>
                </c:pt>
                <c:pt idx="94">
                  <c:v>2.6479818809160696</c:v>
                </c:pt>
                <c:pt idx="95">
                  <c:v>1.4813066335061187</c:v>
                </c:pt>
                <c:pt idx="96">
                  <c:v>1.6054830385694356</c:v>
                </c:pt>
                <c:pt idx="97">
                  <c:v>1.4612140342991928</c:v>
                </c:pt>
                <c:pt idx="98">
                  <c:v>2.2551905124142495</c:v>
                </c:pt>
                <c:pt idx="99">
                  <c:v>4.8321596700052742</c:v>
                </c:pt>
                <c:pt idx="100">
                  <c:v>4.5479403165059438</c:v>
                </c:pt>
                <c:pt idx="101">
                  <c:v>2.5104224719662938</c:v>
                </c:pt>
                <c:pt idx="102">
                  <c:v>1.4510599371819746</c:v>
                </c:pt>
                <c:pt idx="103">
                  <c:v>2.5418830585135135</c:v>
                </c:pt>
                <c:pt idx="104">
                  <c:v>2.7249960027045486</c:v>
                </c:pt>
                <c:pt idx="105">
                  <c:v>3.3345022608160217</c:v>
                </c:pt>
                <c:pt idx="106">
                  <c:v>2.5209691581532354</c:v>
                </c:pt>
                <c:pt idx="107">
                  <c:v>1.8961610346231956</c:v>
                </c:pt>
                <c:pt idx="108">
                  <c:v>0.98031985315305681</c:v>
                </c:pt>
                <c:pt idx="109">
                  <c:v>1.8025551193100826</c:v>
                </c:pt>
                <c:pt idx="110">
                  <c:v>1.0232795901497371</c:v>
                </c:pt>
                <c:pt idx="111">
                  <c:v>2.8659970653846081</c:v>
                </c:pt>
                <c:pt idx="112">
                  <c:v>3.1784617394593973</c:v>
                </c:pt>
                <c:pt idx="113">
                  <c:v>1.8885692930734401</c:v>
                </c:pt>
                <c:pt idx="114">
                  <c:v>4.0718118935226144</c:v>
                </c:pt>
                <c:pt idx="115">
                  <c:v>3.144296040315079</c:v>
                </c:pt>
                <c:pt idx="116">
                  <c:v>3.3379994378725399</c:v>
                </c:pt>
                <c:pt idx="117">
                  <c:v>1.1181179272837181</c:v>
                </c:pt>
                <c:pt idx="118">
                  <c:v>1.8343813381649823</c:v>
                </c:pt>
                <c:pt idx="119">
                  <c:v>3.4337092931271949</c:v>
                </c:pt>
                <c:pt idx="120">
                  <c:v>2.3958327548922576</c:v>
                </c:pt>
                <c:pt idx="121">
                  <c:v>1.7944958129908057</c:v>
                </c:pt>
                <c:pt idx="122">
                  <c:v>1.2305699925330109</c:v>
                </c:pt>
                <c:pt idx="123">
                  <c:v>3.4603059975250607</c:v>
                </c:pt>
                <c:pt idx="124">
                  <c:v>1.2185423411846568</c:v>
                </c:pt>
                <c:pt idx="125">
                  <c:v>2.0819671997422002</c:v>
                </c:pt>
                <c:pt idx="126">
                  <c:v>2.6577808465134014</c:v>
                </c:pt>
                <c:pt idx="127">
                  <c:v>1.7452362364205776</c:v>
                </c:pt>
                <c:pt idx="128">
                  <c:v>2.6675294054276817</c:v>
                </c:pt>
                <c:pt idx="129">
                  <c:v>1.6856858527659315</c:v>
                </c:pt>
                <c:pt idx="130">
                  <c:v>2.3845300792683028</c:v>
                </c:pt>
                <c:pt idx="131">
                  <c:v>0.49979223347876012</c:v>
                </c:pt>
                <c:pt idx="132">
                  <c:v>2.2244102772392242</c:v>
                </c:pt>
                <c:pt idx="133">
                  <c:v>1.2543028163622574</c:v>
                </c:pt>
                <c:pt idx="134">
                  <c:v>2.6772281755233092</c:v>
                </c:pt>
                <c:pt idx="135">
                  <c:v>3.8731478124059349</c:v>
                </c:pt>
                <c:pt idx="136">
                  <c:v>3.4898507048500393</c:v>
                </c:pt>
                <c:pt idx="137">
                  <c:v>0.82498307552607208</c:v>
                </c:pt>
                <c:pt idx="138">
                  <c:v>1.1941526033948113</c:v>
                </c:pt>
                <c:pt idx="139">
                  <c:v>1.8105728180720528</c:v>
                </c:pt>
                <c:pt idx="140">
                  <c:v>3.0663050591777132</c:v>
                </c:pt>
                <c:pt idx="141">
                  <c:v>4.9457540741842445</c:v>
                </c:pt>
                <c:pt idx="142">
                  <c:v>1.9483157649884291</c:v>
                </c:pt>
                <c:pt idx="143">
                  <c:v>3.1519367079697957</c:v>
                </c:pt>
                <c:pt idx="144">
                  <c:v>1.1049972360185127</c:v>
                </c:pt>
                <c:pt idx="145">
                  <c:v>2.361707639730672</c:v>
                </c:pt>
                <c:pt idx="146">
                  <c:v>3.3098624081601944</c:v>
                </c:pt>
                <c:pt idx="147">
                  <c:v>1.8025551193100826</c:v>
                </c:pt>
                <c:pt idx="148">
                  <c:v>3.9114948567918413</c:v>
                </c:pt>
                <c:pt idx="149">
                  <c:v>2.2794270864886252</c:v>
                </c:pt>
                <c:pt idx="150">
                  <c:v>1.2660125312060875</c:v>
                </c:pt>
                <c:pt idx="151">
                  <c:v>2.7390973519134727</c:v>
                </c:pt>
                <c:pt idx="152">
                  <c:v>2.2854338861311261</c:v>
                </c:pt>
                <c:pt idx="153">
                  <c:v>3.884167094065579</c:v>
                </c:pt>
                <c:pt idx="154">
                  <c:v>3.5730717340737828</c:v>
                </c:pt>
                <c:pt idx="155">
                  <c:v>1.3670669411820646</c:v>
                </c:pt>
                <c:pt idx="156">
                  <c:v>2.8616035493056948</c:v>
                </c:pt>
                <c:pt idx="157">
                  <c:v>3.9465615656941768</c:v>
                </c:pt>
                <c:pt idx="158">
                  <c:v>1.4813066335061187</c:v>
                </c:pt>
                <c:pt idx="159">
                  <c:v>2.4784134136131399</c:v>
                </c:pt>
                <c:pt idx="160">
                  <c:v>1.5303353339291994</c:v>
                </c:pt>
                <c:pt idx="161">
                  <c:v>1.0091252446416656</c:v>
                </c:pt>
                <c:pt idx="162">
                  <c:v>1.7114940842313531</c:v>
                </c:pt>
                <c:pt idx="163">
                  <c:v>3.2885161039126887</c:v>
                </c:pt>
                <c:pt idx="164">
                  <c:v>1.4912475479839058</c:v>
                </c:pt>
                <c:pt idx="165">
                  <c:v>1.8025551193100826</c:v>
                </c:pt>
                <c:pt idx="166">
                  <c:v>0.43048857623355552</c:v>
                </c:pt>
                <c:pt idx="167">
                  <c:v>1.8578332363249848</c:v>
                </c:pt>
                <c:pt idx="168">
                  <c:v>2.361707639730672</c:v>
                </c:pt>
                <c:pt idx="169">
                  <c:v>2.7669945925214696</c:v>
                </c:pt>
                <c:pt idx="170">
                  <c:v>1.7452362364205776</c:v>
                </c:pt>
                <c:pt idx="171">
                  <c:v>1.8885692930734401</c:v>
                </c:pt>
                <c:pt idx="172">
                  <c:v>2.3788518129990841</c:v>
                </c:pt>
                <c:pt idx="173">
                  <c:v>0.82498307552607208</c:v>
                </c:pt>
                <c:pt idx="174">
                  <c:v>4.4047811855424417</c:v>
                </c:pt>
                <c:pt idx="175">
                  <c:v>2.5366767633181579</c:v>
                </c:pt>
                <c:pt idx="176">
                  <c:v>2.2244102772392242</c:v>
                </c:pt>
                <c:pt idx="177">
                  <c:v>1.7700629761151729</c:v>
                </c:pt>
                <c:pt idx="178">
                  <c:v>3.0382971770016773</c:v>
                </c:pt>
                <c:pt idx="179">
                  <c:v>4.3823887345721957</c:v>
                </c:pt>
                <c:pt idx="180">
                  <c:v>2.1021143158893016</c:v>
                </c:pt>
                <c:pt idx="181">
                  <c:v>2.4513033034861218</c:v>
                </c:pt>
                <c:pt idx="182">
                  <c:v>1.7199999999999998</c:v>
                </c:pt>
                <c:pt idx="183">
                  <c:v>2.9769551692804983</c:v>
                </c:pt>
                <c:pt idx="184">
                  <c:v>1.2185423411846568</c:v>
                </c:pt>
                <c:pt idx="185">
                  <c:v>3.5856063189100063</c:v>
                </c:pt>
                <c:pt idx="186">
                  <c:v>2.4676178247178679</c:v>
                </c:pt>
                <c:pt idx="187">
                  <c:v>0.62591090576198249</c:v>
                </c:pt>
                <c:pt idx="188">
                  <c:v>4.164180201860793</c:v>
                </c:pt>
                <c:pt idx="189">
                  <c:v>1.9917134495766282</c:v>
                </c:pt>
                <c:pt idx="190">
                  <c:v>1.6682315682955657</c:v>
                </c:pt>
                <c:pt idx="191">
                  <c:v>4.8624062270121122</c:v>
                </c:pt>
                <c:pt idx="192">
                  <c:v>2.3269141868019405</c:v>
                </c:pt>
                <c:pt idx="193">
                  <c:v>2.6182761799359762</c:v>
                </c:pt>
                <c:pt idx="194">
                  <c:v>2.7484412478326172</c:v>
                </c:pt>
                <c:pt idx="195">
                  <c:v>2.1675770306029394</c:v>
                </c:pt>
                <c:pt idx="196">
                  <c:v>3.0702752099429551</c:v>
                </c:pt>
                <c:pt idx="197">
                  <c:v>4.2127191257851369</c:v>
                </c:pt>
                <c:pt idx="198">
                  <c:v>4.3484318743370389</c:v>
                </c:pt>
                <c:pt idx="199">
                  <c:v>3.0017143787678311</c:v>
                </c:pt>
                <c:pt idx="200">
                  <c:v>2.5470747333494277</c:v>
                </c:pt>
                <c:pt idx="201">
                  <c:v>3.2009341821201724</c:v>
                </c:pt>
                <c:pt idx="202">
                  <c:v>3.0221190807769256</c:v>
                </c:pt>
                <c:pt idx="203">
                  <c:v>1.6856858527659315</c:v>
                </c:pt>
                <c:pt idx="204">
                  <c:v>3.1250711553601853</c:v>
                </c:pt>
                <c:pt idx="205">
                  <c:v>2.4998148567641012</c:v>
                </c:pt>
                <c:pt idx="206">
                  <c:v>2.4567577837210441</c:v>
                </c:pt>
                <c:pt idx="207">
                  <c:v>2.6232597716974748</c:v>
                </c:pt>
                <c:pt idx="208">
                  <c:v>4.0047687183460061</c:v>
                </c:pt>
                <c:pt idx="209">
                  <c:v>1.3885447730204259</c:v>
                </c:pt>
                <c:pt idx="210">
                  <c:v>2.7530962928585874</c:v>
                </c:pt>
                <c:pt idx="211">
                  <c:v>2.161143730834227</c:v>
                </c:pt>
                <c:pt idx="212">
                  <c:v>3.4370514426600254</c:v>
                </c:pt>
                <c:pt idx="213">
                  <c:v>1.4305298664418724</c:v>
                </c:pt>
                <c:pt idx="214">
                  <c:v>3.144296040315079</c:v>
                </c:pt>
                <c:pt idx="215">
                  <c:v>1.694337672333798</c:v>
                </c:pt>
                <c:pt idx="216">
                  <c:v>2.8747549433675568</c:v>
                </c:pt>
                <c:pt idx="217">
                  <c:v>2.3559559859570429</c:v>
                </c:pt>
                <c:pt idx="218">
                  <c:v>2.0547191801749012</c:v>
                </c:pt>
                <c:pt idx="219">
                  <c:v>3.1897279083811219</c:v>
                </c:pt>
                <c:pt idx="220">
                  <c:v>1.7029401932065982</c:v>
                </c:pt>
                <c:pt idx="221">
                  <c:v>1.9037167105987125</c:v>
                </c:pt>
                <c:pt idx="222">
                  <c:v>1.1693000027859672</c:v>
                </c:pt>
                <c:pt idx="223">
                  <c:v>1.3778475463441517</c:v>
                </c:pt>
                <c:pt idx="224">
                  <c:v>2.4403448314690257</c:v>
                </c:pt>
                <c:pt idx="225">
                  <c:v>1.8264854303787263</c:v>
                </c:pt>
                <c:pt idx="226">
                  <c:v>1.77825027921185</c:v>
                </c:pt>
                <c:pt idx="227">
                  <c:v>2.1286053444523985</c:v>
                </c:pt>
                <c:pt idx="228">
                  <c:v>3.369223070858741</c:v>
                </c:pt>
                <c:pt idx="229">
                  <c:v>1.2305699925330109</c:v>
                </c:pt>
                <c:pt idx="230">
                  <c:v>2.8703808462012708</c:v>
                </c:pt>
                <c:pt idx="231">
                  <c:v>2.6528877036404745</c:v>
                </c:pt>
                <c:pt idx="232">
                  <c:v>2.8216150814768195</c:v>
                </c:pt>
                <c:pt idx="233">
                  <c:v>2.2056747521211628</c:v>
                </c:pt>
                <c:pt idx="234">
                  <c:v>1.77825027921185</c:v>
                </c:pt>
                <c:pt idx="235">
                  <c:v>2.7944960987174792</c:v>
                </c:pt>
                <c:pt idx="236">
                  <c:v>0.93579721267370308</c:v>
                </c:pt>
                <c:pt idx="237">
                  <c:v>1.6769840509726475</c:v>
                </c:pt>
                <c:pt idx="238">
                  <c:v>1.9112367294874053</c:v>
                </c:pt>
                <c:pt idx="239">
                  <c:v>2.236788260271231</c:v>
                </c:pt>
                <c:pt idx="240">
                  <c:v>2.0547191801749012</c:v>
                </c:pt>
                <c:pt idx="241">
                  <c:v>1.3885447730204259</c:v>
                </c:pt>
                <c:pt idx="242">
                  <c:v>0.52189046847153486</c:v>
                </c:pt>
                <c:pt idx="243">
                  <c:v>1.9483157649884291</c:v>
                </c:pt>
                <c:pt idx="244">
                  <c:v>2.2056747521211628</c:v>
                </c:pt>
                <c:pt idx="245">
                  <c:v>3.3897929194707652</c:v>
                </c:pt>
                <c:pt idx="246">
                  <c:v>2.0887099740356403</c:v>
                </c:pt>
                <c:pt idx="247">
                  <c:v>1.4612140342991928</c:v>
                </c:pt>
                <c:pt idx="248">
                  <c:v>0.60590314152921687</c:v>
                </c:pt>
                <c:pt idx="249">
                  <c:v>2.7249960027045486</c:v>
                </c:pt>
                <c:pt idx="250">
                  <c:v>1.4305298664418724</c:v>
                </c:pt>
                <c:pt idx="251">
                  <c:v>1.8578332363249848</c:v>
                </c:pt>
                <c:pt idx="252">
                  <c:v>3.6350641197859614</c:v>
                </c:pt>
                <c:pt idx="253">
                  <c:v>2.0819671997422002</c:v>
                </c:pt>
                <c:pt idx="254">
                  <c:v>0.82498307552607208</c:v>
                </c:pt>
                <c:pt idx="255">
                  <c:v>3.4403885382804331</c:v>
                </c:pt>
                <c:pt idx="256">
                  <c:v>3.2342011429384678</c:v>
                </c:pt>
                <c:pt idx="257">
                  <c:v>1.2424893810212652</c:v>
                </c:pt>
                <c:pt idx="258">
                  <c:v>1.300540594943032</c:v>
                </c:pt>
                <c:pt idx="259">
                  <c:v>3.4865872787490026</c:v>
                </c:pt>
                <c:pt idx="260">
                  <c:v>3.3657758305513106</c:v>
                </c:pt>
                <c:pt idx="261">
                  <c:v>1.3778475463441517</c:v>
                </c:pt>
                <c:pt idx="262">
                  <c:v>1.3342088444926303</c:v>
                </c:pt>
                <c:pt idx="263">
                  <c:v>3.3657758305513106</c:v>
                </c:pt>
                <c:pt idx="264">
                  <c:v>1.4510599371819746</c:v>
                </c:pt>
                <c:pt idx="265">
                  <c:v>0.98031985315305681</c:v>
                </c:pt>
                <c:pt idx="266">
                  <c:v>0.77407808215564744</c:v>
                </c:pt>
                <c:pt idx="267">
                  <c:v>0.43048857623355552</c:v>
                </c:pt>
                <c:pt idx="268">
                  <c:v>2.2673510241862882</c:v>
                </c:pt>
                <c:pt idx="269">
                  <c:v>1.6769840509726475</c:v>
                </c:pt>
                <c:pt idx="270">
                  <c:v>0.80826322773726922</c:v>
                </c:pt>
                <c:pt idx="271">
                  <c:v>1.2305699925330109</c:v>
                </c:pt>
                <c:pt idx="272">
                  <c:v>1.2660125312060875</c:v>
                </c:pt>
                <c:pt idx="273">
                  <c:v>4.3070824812895481</c:v>
                </c:pt>
                <c:pt idx="274">
                  <c:v>2.557414613508131</c:v>
                </c:pt>
                <c:pt idx="275">
                  <c:v>1.596297980561042</c:v>
                </c:pt>
                <c:pt idx="276">
                  <c:v>1.05111378380106</c:v>
                </c:pt>
                <c:pt idx="277">
                  <c:v>2.3501856275471962</c:v>
                </c:pt>
                <c:pt idx="278">
                  <c:v>2.4784134136131399</c:v>
                </c:pt>
                <c:pt idx="279">
                  <c:v>3.3761012421492964</c:v>
                </c:pt>
                <c:pt idx="280">
                  <c:v>1.7114940842313531</c:v>
                </c:pt>
                <c:pt idx="281">
                  <c:v>2.0547191801749012</c:v>
                </c:pt>
                <c:pt idx="282">
                  <c:v>1.7199999999999998</c:v>
                </c:pt>
                <c:pt idx="283">
                  <c:v>3.3098624081601944</c:v>
                </c:pt>
                <c:pt idx="284">
                  <c:v>2.2973858766087982</c:v>
                </c:pt>
                <c:pt idx="285">
                  <c:v>1.3562013805807931</c:v>
                </c:pt>
                <c:pt idx="286">
                  <c:v>3.3932024846328952</c:v>
                </c:pt>
                <c:pt idx="287">
                  <c:v>2.0200150810863322</c:v>
                </c:pt>
                <c:pt idx="288">
                  <c:v>0.80826322773726922</c:v>
                </c:pt>
                <c:pt idx="289">
                  <c:v>2.5470747333494277</c:v>
                </c:pt>
                <c:pt idx="290">
                  <c:v>3.3519320202797225</c:v>
                </c:pt>
                <c:pt idx="291">
                  <c:v>3.5636249942669549</c:v>
                </c:pt>
                <c:pt idx="292">
                  <c:v>2.2854338861311261</c:v>
                </c:pt>
                <c:pt idx="293">
                  <c:v>1.5683928776237952</c:v>
                </c:pt>
                <c:pt idx="294">
                  <c:v>1.558971532974283</c:v>
                </c:pt>
                <c:pt idx="295">
                  <c:v>2.6577808465134014</c:v>
                </c:pt>
                <c:pt idx="296">
                  <c:v>2.8305719209680422</c:v>
                </c:pt>
                <c:pt idx="297">
                  <c:v>0.52189046847153486</c:v>
                </c:pt>
                <c:pt idx="298">
                  <c:v>1.0917400078112802</c:v>
                </c:pt>
                <c:pt idx="299">
                  <c:v>2.0547191801749012</c:v>
                </c:pt>
                <c:pt idx="300">
                  <c:v>2.7484412478326172</c:v>
                </c:pt>
                <c:pt idx="301">
                  <c:v>2.3501856275471962</c:v>
                </c:pt>
                <c:pt idx="302">
                  <c:v>1.8732759418174041</c:v>
                </c:pt>
                <c:pt idx="303">
                  <c:v>2.6868777627583329</c:v>
                </c:pt>
                <c:pt idx="304">
                  <c:v>1.8578332363249848</c:v>
                </c:pt>
                <c:pt idx="305">
                  <c:v>3.7542380585662416</c:v>
                </c:pt>
                <c:pt idx="306">
                  <c:v>2.6430632991938614</c:v>
                </c:pt>
                <c:pt idx="307">
                  <c:v>2.0478365668918332</c:v>
                </c:pt>
                <c:pt idx="308">
                  <c:v>1.7199999999999998</c:v>
                </c:pt>
                <c:pt idx="309">
                  <c:v>1.7029401932065982</c:v>
                </c:pt>
                <c:pt idx="310">
                  <c:v>2.4237815270414442</c:v>
                </c:pt>
                <c:pt idx="311">
                  <c:v>1.9335868203972115</c:v>
                </c:pt>
                <c:pt idx="312">
                  <c:v>4.0488117755643387</c:v>
                </c:pt>
                <c:pt idx="313">
                  <c:v>1.2776206846158975</c:v>
                </c:pt>
                <c:pt idx="314">
                  <c:v>2.4837873238394366</c:v>
                </c:pt>
                <c:pt idx="315">
                  <c:v>3.2378654790949213</c:v>
                </c:pt>
                <c:pt idx="316">
                  <c:v>1.3118563306603859</c:v>
                </c:pt>
                <c:pt idx="317">
                  <c:v>0.92058475701729892</c:v>
                </c:pt>
                <c:pt idx="318">
                  <c:v>2.0954255924138758</c:v>
                </c:pt>
                <c:pt idx="319">
                  <c:v>1.7368704553213314</c:v>
                </c:pt>
                <c:pt idx="320">
                  <c:v>1.6682315682955657</c:v>
                </c:pt>
                <c:pt idx="321">
                  <c:v>0.73883748285268158</c:v>
                </c:pt>
                <c:pt idx="322">
                  <c:v>2.9686343662935126</c:v>
                </c:pt>
                <c:pt idx="323">
                  <c:v>1.0232795901497371</c:v>
                </c:pt>
                <c:pt idx="324">
                  <c:v>1.0091252446416656</c:v>
                </c:pt>
                <c:pt idx="325">
                  <c:v>3.2885161039126887</c:v>
                </c:pt>
                <c:pt idx="326">
                  <c:v>1.4813066335061187</c:v>
                </c:pt>
                <c:pt idx="327">
                  <c:v>2.4944879353697385</c:v>
                </c:pt>
                <c:pt idx="328">
                  <c:v>2.8616035493056948</c:v>
                </c:pt>
                <c:pt idx="329">
                  <c:v>2.9602791369343384</c:v>
                </c:pt>
                <c:pt idx="330">
                  <c:v>3.3133996449665997</c:v>
                </c:pt>
                <c:pt idx="331">
                  <c:v>3.496363254209351</c:v>
                </c:pt>
                <c:pt idx="332">
                  <c:v>3.0503473800454017</c:v>
                </c:pt>
                <c:pt idx="333">
                  <c:v>2.6528877036404745</c:v>
                </c:pt>
                <c:pt idx="334">
                  <c:v>2.6082691593110958</c:v>
                </c:pt>
                <c:pt idx="335">
                  <c:v>1.6594276904863281</c:v>
                </c:pt>
                <c:pt idx="336">
                  <c:v>2.068399119106382</c:v>
                </c:pt>
                <c:pt idx="337">
                  <c:v>4.300125498892216</c:v>
                </c:pt>
                <c:pt idx="338">
                  <c:v>2.236788260271231</c:v>
                </c:pt>
                <c:pt idx="339">
                  <c:v>3.3897929194707652</c:v>
                </c:pt>
                <c:pt idx="340">
                  <c:v>3.9331348315043329</c:v>
                </c:pt>
                <c:pt idx="341">
                  <c:v>0.87375081006964628</c:v>
                </c:pt>
                <c:pt idx="342">
                  <c:v>2.4944879353697385</c:v>
                </c:pt>
                <c:pt idx="343">
                  <c:v>2.1154121025123676</c:v>
                </c:pt>
                <c:pt idx="344">
                  <c:v>2.6964787614962047</c:v>
                </c:pt>
                <c:pt idx="345">
                  <c:v>1.9917134495766282</c:v>
                </c:pt>
                <c:pt idx="346">
                  <c:v>2.161143730834227</c:v>
                </c:pt>
                <c:pt idx="347">
                  <c:v>1.8343813381649823</c:v>
                </c:pt>
                <c:pt idx="348">
                  <c:v>3.1366273333773158</c:v>
                </c:pt>
                <c:pt idx="349">
                  <c:v>2.6032455598377515</c:v>
                </c:pt>
                <c:pt idx="350">
                  <c:v>1.5683928776237952</c:v>
                </c:pt>
                <c:pt idx="351">
                  <c:v>2.0954255924138758</c:v>
                </c:pt>
                <c:pt idx="352">
                  <c:v>2.1930697240033341</c:v>
                </c:pt>
                <c:pt idx="353">
                  <c:v>2.5931577494919011</c:v>
                </c:pt>
                <c:pt idx="354">
                  <c:v>2.5470747333494277</c:v>
                </c:pt>
                <c:pt idx="355">
                  <c:v>3.1859792116645709</c:v>
                </c:pt>
                <c:pt idx="356">
                  <c:v>2.061573270225785</c:v>
                </c:pt>
                <c:pt idx="357">
                  <c:v>2.662661387906617</c:v>
                </c:pt>
                <c:pt idx="358">
                  <c:v>2.6772281755233092</c:v>
                </c:pt>
                <c:pt idx="359">
                  <c:v>2.1416959928444577</c:v>
                </c:pt>
                <c:pt idx="360">
                  <c:v>2.8572002459157542</c:v>
                </c:pt>
                <c:pt idx="361">
                  <c:v>1.5303353339291994</c:v>
                </c:pt>
                <c:pt idx="362">
                  <c:v>2.4998148567641012</c:v>
                </c:pt>
                <c:pt idx="363">
                  <c:v>1.5303353339291994</c:v>
                </c:pt>
                <c:pt idx="364">
                  <c:v>2.7437749559963143</c:v>
                </c:pt>
                <c:pt idx="365">
                  <c:v>2.4237815270414442</c:v>
                </c:pt>
                <c:pt idx="366">
                  <c:v>3.2920885666189772</c:v>
                </c:pt>
                <c:pt idx="367">
                  <c:v>2.3788518129990841</c:v>
                </c:pt>
                <c:pt idx="368">
                  <c:v>3.5157876718939738</c:v>
                </c:pt>
                <c:pt idx="369">
                  <c:v>2.9350034247847114</c:v>
                </c:pt>
                <c:pt idx="370">
                  <c:v>2.9392381782369155</c:v>
                </c:pt>
                <c:pt idx="371">
                  <c:v>1.2776206846158975</c:v>
                </c:pt>
                <c:pt idx="372">
                  <c:v>3.3554012421202639</c:v>
                </c:pt>
                <c:pt idx="373">
                  <c:v>2.8035776300561137</c:v>
                </c:pt>
                <c:pt idx="374">
                  <c:v>1.3670669411820646</c:v>
                </c:pt>
                <c:pt idx="375">
                  <c:v>4.4159052940595362</c:v>
                </c:pt>
                <c:pt idx="376">
                  <c:v>2.0887099740356403</c:v>
                </c:pt>
                <c:pt idx="377">
                  <c:v>3.7888295393892548</c:v>
                </c:pt>
                <c:pt idx="378">
                  <c:v>0.79129784196786579</c:v>
                </c:pt>
                <c:pt idx="379">
                  <c:v>1.596297980561042</c:v>
                </c:pt>
                <c:pt idx="380">
                  <c:v>1.3885447730204259</c:v>
                </c:pt>
                <c:pt idx="381">
                  <c:v>1.596297980561042</c:v>
                </c:pt>
                <c:pt idx="382">
                  <c:v>1.77825027921185</c:v>
                </c:pt>
                <c:pt idx="383">
                  <c:v>1.4408323115484225</c:v>
                </c:pt>
                <c:pt idx="384">
                  <c:v>1.9845606603980279</c:v>
                </c:pt>
                <c:pt idx="385">
                  <c:v>2.4182264385991799</c:v>
                </c:pt>
                <c:pt idx="386">
                  <c:v>2.4126541463551412</c:v>
                </c:pt>
                <c:pt idx="387">
                  <c:v>2.0200150810863322</c:v>
                </c:pt>
                <c:pt idx="388">
                  <c:v>2.373155411031723</c:v>
                </c:pt>
                <c:pt idx="389">
                  <c:v>2.7249960027045486</c:v>
                </c:pt>
                <c:pt idx="390">
                  <c:v>3.6924390646622536</c:v>
                </c:pt>
                <c:pt idx="391">
                  <c:v>1.4712958589397838</c:v>
                </c:pt>
                <c:pt idx="392">
                  <c:v>2.8572002459157542</c:v>
                </c:pt>
                <c:pt idx="393">
                  <c:v>3.884167094065579</c:v>
                </c:pt>
                <c:pt idx="394">
                  <c:v>2.3092568352971288</c:v>
                </c:pt>
                <c:pt idx="395">
                  <c:v>1.5494888105519129</c:v>
                </c:pt>
                <c:pt idx="396">
                  <c:v>2.273399523536634</c:v>
                </c:pt>
                <c:pt idx="397">
                  <c:v>3.9995345050631625</c:v>
                </c:pt>
                <c:pt idx="398">
                  <c:v>2.93075971266894</c:v>
                </c:pt>
                <c:pt idx="399">
                  <c:v>2.4014574352282496</c:v>
                </c:pt>
                <c:pt idx="400">
                  <c:v>3.3345022608160217</c:v>
                </c:pt>
                <c:pt idx="401">
                  <c:v>2.4676178247178679</c:v>
                </c:pt>
                <c:pt idx="402">
                  <c:v>2.4676178247178679</c:v>
                </c:pt>
                <c:pt idx="403">
                  <c:v>2.361707639730672</c:v>
                </c:pt>
                <c:pt idx="404">
                  <c:v>2.061573270225785</c:v>
                </c:pt>
                <c:pt idx="405">
                  <c:v>0.93579721267370308</c:v>
                </c:pt>
                <c:pt idx="406">
                  <c:v>1.7618319136006919</c:v>
                </c:pt>
                <c:pt idx="407">
                  <c:v>1.3118563306603859</c:v>
                </c:pt>
                <c:pt idx="408">
                  <c:v>3.5604672789774829</c:v>
                </c:pt>
                <c:pt idx="409">
                  <c:v>1.7029401932065982</c:v>
                </c:pt>
                <c:pt idx="410">
                  <c:v>2.373155411031723</c:v>
                </c:pt>
                <c:pt idx="411">
                  <c:v>1.9773762634450138</c:v>
                </c:pt>
                <c:pt idx="412">
                  <c:v>2.0409251438280771</c:v>
                </c:pt>
                <c:pt idx="413">
                  <c:v>1.6236833698951409</c:v>
                </c:pt>
                <c:pt idx="414">
                  <c:v>4.0971179786146141</c:v>
                </c:pt>
                <c:pt idx="415">
                  <c:v>4.5794201557594949</c:v>
                </c:pt>
                <c:pt idx="416">
                  <c:v>0.1558695489677393</c:v>
                </c:pt>
                <c:pt idx="417">
                  <c:v>1.2305699925330109</c:v>
                </c:pt>
                <c:pt idx="418">
                  <c:v>0.56473073722475364</c:v>
                </c:pt>
                <c:pt idx="419">
                  <c:v>1.2660125312060875</c:v>
                </c:pt>
                <c:pt idx="420">
                  <c:v>3.3966067480252686</c:v>
                </c:pt>
                <c:pt idx="421">
                  <c:v>1.5303353339291994</c:v>
                </c:pt>
                <c:pt idx="422">
                  <c:v>2.1286053444523985</c:v>
                </c:pt>
                <c:pt idx="423">
                  <c:v>1.9701599214142975</c:v>
                </c:pt>
                <c:pt idx="424">
                  <c:v>4.5394822524550325</c:v>
                </c:pt>
                <c:pt idx="425">
                  <c:v>1.9917134495766282</c:v>
                </c:pt>
                <c:pt idx="426">
                  <c:v>1.1049972360185127</c:v>
                </c:pt>
                <c:pt idx="427">
                  <c:v>2.3845300792683028</c:v>
                </c:pt>
                <c:pt idx="428">
                  <c:v>2.4070645218821065</c:v>
                </c:pt>
                <c:pt idx="429">
                  <c:v>1.3670669411820646</c:v>
                </c:pt>
                <c:pt idx="430">
                  <c:v>1.7199999999999998</c:v>
                </c:pt>
                <c:pt idx="431">
                  <c:v>0.1233413098084033</c:v>
                </c:pt>
                <c:pt idx="432">
                  <c:v>1.0091252446416656</c:v>
                </c:pt>
                <c:pt idx="433">
                  <c:v>0.6455555092116767</c:v>
                </c:pt>
                <c:pt idx="434">
                  <c:v>1.1311054085932239</c:v>
                </c:pt>
                <c:pt idx="435">
                  <c:v>2.3443964178451431</c:v>
                </c:pt>
                <c:pt idx="436">
                  <c:v>1.7618319136006919</c:v>
                </c:pt>
                <c:pt idx="437">
                  <c:v>1.0232795901497371</c:v>
                </c:pt>
                <c:pt idx="438">
                  <c:v>1.8732759418174041</c:v>
                </c:pt>
                <c:pt idx="439">
                  <c:v>2.2973858766087982</c:v>
                </c:pt>
                <c:pt idx="440">
                  <c:v>1.1181179272837181</c:v>
                </c:pt>
                <c:pt idx="441">
                  <c:v>3.6258721970020051</c:v>
                </c:pt>
                <c:pt idx="442">
                  <c:v>2.5157033786838552</c:v>
                </c:pt>
                <c:pt idx="443">
                  <c:v>2.5104224719662938</c:v>
                </c:pt>
                <c:pt idx="444">
                  <c:v>2.2673510241862882</c:v>
                </c:pt>
                <c:pt idx="445">
                  <c:v>2.6232597716974748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1-48FB-BE7E-1CDBC51B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3176"/>
        <c:axId val="851982520"/>
      </c:scatterChart>
      <c:valAx>
        <c:axId val="851983176"/>
        <c:scaling>
          <c:orientation val="minMax"/>
          <c:max val="447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1982520"/>
        <c:crosses val="autoZero"/>
        <c:crossBetween val="midCat"/>
      </c:valAx>
      <c:valAx>
        <c:axId val="851982520"/>
        <c:scaling>
          <c:orientation val="minMax"/>
          <c:max val="6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198317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18-4B24-B808-02801921B14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18-4B24-B808-02801921B14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18-4B24-B808-02801921B14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18-4B24-B808-02801921B14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18-4B24-B808-02801921B14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418-4B24-B808-02801921B14B}"/>
              </c:ext>
            </c:extLst>
          </c:dPt>
          <c:dPt>
            <c:idx val="6"/>
            <c:invertIfNegative val="0"/>
            <c:bubble3D val="0"/>
            <c:spPr>
              <a:solidFill>
                <a:srgbClr val="F0991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18-4B24-B808-02801921B14B}"/>
              </c:ext>
            </c:extLst>
          </c:dPt>
          <c:dPt>
            <c:idx val="7"/>
            <c:invertIfNegative val="0"/>
            <c:bubble3D val="0"/>
            <c:spPr>
              <a:solidFill>
                <a:srgbClr val="FA50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418-4B24-B808-02801921B14B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117-44E3-BBC7-F4C9AF5E2A34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418-4B24-B808-02801921B14B}"/>
              </c:ext>
            </c:extLst>
          </c:dPt>
          <c:cat>
            <c:numRef>
              <c:f>Rezept_Analyse!$E$94:$E$103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Rezept_Analyse!$D$94:$D$103</c:f>
              <c:numCache>
                <c:formatCode>General</c:formatCode>
                <c:ptCount val="10"/>
                <c:pt idx="0">
                  <c:v>8</c:v>
                </c:pt>
                <c:pt idx="1">
                  <c:v>29</c:v>
                </c:pt>
                <c:pt idx="2">
                  <c:v>68</c:v>
                </c:pt>
                <c:pt idx="3">
                  <c:v>85</c:v>
                </c:pt>
                <c:pt idx="4">
                  <c:v>98</c:v>
                </c:pt>
                <c:pt idx="5">
                  <c:v>64</c:v>
                </c:pt>
                <c:pt idx="6">
                  <c:v>50</c:v>
                </c:pt>
                <c:pt idx="7">
                  <c:v>21</c:v>
                </c:pt>
                <c:pt idx="8">
                  <c:v>16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18-4B24-B808-02801921B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192768"/>
        <c:axId val="725193096"/>
      </c:barChart>
      <c:catAx>
        <c:axId val="72519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3096"/>
        <c:crosses val="autoZero"/>
        <c:auto val="1"/>
        <c:lblAlgn val="ctr"/>
        <c:lblOffset val="100"/>
        <c:noMultiLvlLbl val="0"/>
      </c:catAx>
      <c:valAx>
        <c:axId val="7251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51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752474</xdr:colOff>
      <xdr:row>3</xdr:row>
      <xdr:rowOff>242887</xdr:rowOff>
    </xdr:from>
    <xdr:to>
      <xdr:col>11</xdr:col>
      <xdr:colOff>76199</xdr:colOff>
      <xdr:row>15</xdr:row>
      <xdr:rowOff>9525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4761</xdr:colOff>
      <xdr:row>19</xdr:row>
      <xdr:rowOff>4762</xdr:rowOff>
    </xdr:from>
    <xdr:to>
      <xdr:col>11</xdr:col>
      <xdr:colOff>76200</xdr:colOff>
      <xdr:row>30</xdr:row>
      <xdr:rowOff>23812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33</xdr:row>
      <xdr:rowOff>19048</xdr:rowOff>
    </xdr:from>
    <xdr:to>
      <xdr:col>11</xdr:col>
      <xdr:colOff>71439</xdr:colOff>
      <xdr:row>45</xdr:row>
      <xdr:rowOff>161926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50</xdr:row>
      <xdr:rowOff>204787</xdr:rowOff>
    </xdr:from>
    <xdr:to>
      <xdr:col>11</xdr:col>
      <xdr:colOff>47625</xdr:colOff>
      <xdr:row>61</xdr:row>
      <xdr:rowOff>223837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66</xdr:row>
      <xdr:rowOff>0</xdr:rowOff>
    </xdr:from>
    <xdr:to>
      <xdr:col>11</xdr:col>
      <xdr:colOff>71439</xdr:colOff>
      <xdr:row>77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79</xdr:row>
      <xdr:rowOff>228600</xdr:rowOff>
    </xdr:from>
    <xdr:to>
      <xdr:col>11</xdr:col>
      <xdr:colOff>71439</xdr:colOff>
      <xdr:row>97</xdr:row>
      <xdr:rowOff>238127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104775</xdr:colOff>
      <xdr:row>100</xdr:row>
      <xdr:rowOff>123825</xdr:rowOff>
    </xdr:from>
    <xdr:to>
      <xdr:col>11</xdr:col>
      <xdr:colOff>104775</xdr:colOff>
      <xdr:row>111</xdr:row>
      <xdr:rowOff>142875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15</xdr:row>
          <xdr:rowOff>209550</xdr:rowOff>
        </xdr:from>
        <xdr:to>
          <xdr:col>6</xdr:col>
          <xdr:colOff>704850</xdr:colOff>
          <xdr:row>17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Sort. CO2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62</xdr:row>
          <xdr:rowOff>200025</xdr:rowOff>
        </xdr:from>
        <xdr:to>
          <xdr:col>7</xdr:col>
          <xdr:colOff>352425</xdr:colOff>
          <xdr:row>64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Sort.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209550</xdr:rowOff>
        </xdr:from>
        <xdr:to>
          <xdr:col>6</xdr:col>
          <xdr:colOff>561975</xdr:colOff>
          <xdr:row>2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Sort. Num.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4761</xdr:colOff>
      <xdr:row>7</xdr:row>
      <xdr:rowOff>4762</xdr:rowOff>
    </xdr:from>
    <xdr:to>
      <xdr:col>11</xdr:col>
      <xdr:colOff>76200</xdr:colOff>
      <xdr:row>18</xdr:row>
      <xdr:rowOff>23812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19047</xdr:rowOff>
    </xdr:from>
    <xdr:to>
      <xdr:col>11</xdr:col>
      <xdr:colOff>71439</xdr:colOff>
      <xdr:row>39</xdr:row>
      <xdr:rowOff>28574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47625</xdr:colOff>
      <xdr:row>42</xdr:row>
      <xdr:rowOff>204787</xdr:rowOff>
    </xdr:from>
    <xdr:to>
      <xdr:col>11</xdr:col>
      <xdr:colOff>47625</xdr:colOff>
      <xdr:row>53</xdr:row>
      <xdr:rowOff>223837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58</xdr:row>
      <xdr:rowOff>0</xdr:rowOff>
    </xdr:from>
    <xdr:to>
      <xdr:col>11</xdr:col>
      <xdr:colOff>71439</xdr:colOff>
      <xdr:row>69</xdr:row>
      <xdr:rowOff>19050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71</xdr:row>
      <xdr:rowOff>228600</xdr:rowOff>
    </xdr:from>
    <xdr:to>
      <xdr:col>11</xdr:col>
      <xdr:colOff>71439</xdr:colOff>
      <xdr:row>89</xdr:row>
      <xdr:rowOff>238127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104775</xdr:colOff>
      <xdr:row>92</xdr:row>
      <xdr:rowOff>123825</xdr:rowOff>
    </xdr:from>
    <xdr:to>
      <xdr:col>11</xdr:col>
      <xdr:colOff>104775</xdr:colOff>
      <xdr:row>103</xdr:row>
      <xdr:rowOff>142875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3</xdr:row>
          <xdr:rowOff>209550</xdr:rowOff>
        </xdr:from>
        <xdr:to>
          <xdr:col>6</xdr:col>
          <xdr:colOff>704850</xdr:colOff>
          <xdr:row>5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Sort. CO2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54</xdr:row>
          <xdr:rowOff>200025</xdr:rowOff>
        </xdr:from>
        <xdr:to>
          <xdr:col>7</xdr:col>
          <xdr:colOff>352425</xdr:colOff>
          <xdr:row>56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Sort.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</xdr:row>
          <xdr:rowOff>219075</xdr:rowOff>
        </xdr:from>
        <xdr:to>
          <xdr:col>6</xdr:col>
          <xdr:colOff>695325</xdr:colOff>
          <xdr:row>3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Sort. Num.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D5B1B2-E7BA-4B41-86C3-E3F94C9209F3}" name="Tabelle13" displayName="Tabelle13" ref="B2:J102" totalsRowShown="0" headerRowDxfId="20" dataDxfId="19">
  <autoFilter ref="B2:J102" xr:uid="{DAD5B1B2-E7BA-4B41-86C3-E3F94C9209F3}"/>
  <sortState xmlns:xlrd2="http://schemas.microsoft.com/office/spreadsheetml/2017/richdata2" ref="B3:J102">
    <sortCondition ref="B2:B102"/>
  </sortState>
  <tableColumns count="9">
    <tableColumn id="1" xr3:uid="{EF27F89D-381E-4D27-A45F-76389236C419}" name="Nummer" dataDxfId="18"/>
    <tableColumn id="2" xr3:uid="{F81E1C21-9699-4F3E-B83D-BE5C70EAE1DD}" name="Name" dataDxfId="17"/>
    <tableColumn id="3" xr3:uid="{5A191CA9-5830-4684-AF6D-0F3AD116E883}" name="Region" dataDxfId="16"/>
    <tableColumn id="4" xr3:uid="{F94F49A3-1F3A-4F42-B2F3-7761303A3925}" name="CO2 /100g" dataDxfId="15"/>
    <tableColumn id="9" xr3:uid="{18A1AA14-55C5-4728-B157-4A6F869F0EFC}" name="CO2 Normallisiert" dataDxfId="14">
      <calculatedColumnFormula>(Tabelle13[[#This Row],[CO2 /100g]]^(1/3.5))-1.9</calculatedColumnFormula>
    </tableColumn>
    <tableColumn id="8" xr3:uid="{039463EB-0624-40B4-B4D5-EF3437EE5242}" name="CO2-Punkte" dataDxfId="13">
      <calculatedColumnFormula>MIN(5,ROUNDUP(Tabelle13[[#This Row],[CO2 Normallisiert]]*2,0)/2)</calculatedColumnFormula>
    </tableColumn>
    <tableColumn id="5" xr3:uid="{0579CBEB-F896-4BD4-814B-7116D166FA8E}" name="Wasser / 100g" dataDxfId="12"/>
    <tableColumn id="10" xr3:uid="{65E32133-293A-4A4A-B498-58F0BF28460F}" name="Wasser Normallisiert" dataDxfId="11">
      <calculatedColumnFormula>MAX(0,(Tabelle13[[#This Row],[Wasser / 100g]]^(1/3.5))-2.3)</calculatedColumnFormula>
    </tableColumn>
    <tableColumn id="11" xr3:uid="{A9A0ACB1-2B2C-49EE-BEFD-17C36FF4524D}" name="Wasser-Punkte" dataDxfId="10">
      <calculatedColumnFormula>MIN(5,ROUNDUP(Tabelle13[[#This Row],[Wasser Normallisiert]]*2,0)/2)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C81126-26B8-4AAC-B28D-BD419044B92D}" name="Tabelle14" displayName="Tabelle14" ref="B2:I448" totalsRowShown="0" headerRowDxfId="9" dataDxfId="8">
  <autoFilter ref="B2:I448" xr:uid="{DAD5B1B2-E7BA-4B41-86C3-E3F94C9209F3}"/>
  <sortState xmlns:xlrd2="http://schemas.microsoft.com/office/spreadsheetml/2017/richdata2" ref="B3:I448">
    <sortCondition ref="B2:B448"/>
  </sortState>
  <tableColumns count="8">
    <tableColumn id="1" xr3:uid="{D495A9CF-1379-42EB-80FE-57A7E2CAAD43}" name="Nummer" dataDxfId="7"/>
    <tableColumn id="2" xr3:uid="{8F0222E6-0093-4D3E-8320-42EDB4DE176D}" name="Name" dataDxfId="6"/>
    <tableColumn id="4" xr3:uid="{C2DC850C-CED6-4FDB-BCF7-B0F3753EBF64}" name="CO2 /100g" dataDxfId="5"/>
    <tableColumn id="9" xr3:uid="{F72A5DF9-1276-4ACE-9989-AFE008948FA5}" name="CO2 Normallisiert" dataDxfId="4">
      <calculatedColumnFormula>((Tabelle14[[#This Row],[CO2 /100g]]^(1/3.3))*0.9)-2.26</calculatedColumnFormula>
    </tableColumn>
    <tableColumn id="8" xr3:uid="{B6511A39-906D-426E-ACA7-CC8EB926FE27}" name="CO2-Punkte" dataDxfId="3">
      <calculatedColumnFormula>MIN(5,ROUNDUP(Tabelle14[[#This Row],[CO2 Normallisiert]]*2,0)/2)</calculatedColumnFormula>
    </tableColumn>
    <tableColumn id="5" xr3:uid="{B8C90AB9-B7AC-4B22-BDDA-A2125E381A5D}" name="Wasser / 100g" dataDxfId="2"/>
    <tableColumn id="10" xr3:uid="{3BA0F770-6B48-4B77-98C3-4FCE97246312}" name="Wasser Normallisiert" dataDxfId="1">
      <calculatedColumnFormula>MAX(0,((Tabelle14[[#This Row],[Wasser / 100g]]^(1/3.5))*0.95)-2.08)</calculatedColumnFormula>
    </tableColumn>
    <tableColumn id="11" xr3:uid="{D917B718-8FB0-45FE-B1AF-29F699E37D6F}" name="Wasser-Punkte" dataDxfId="0">
      <calculatedColumnFormula>MIN(5,ROUNDUP(Tabelle14[[#This Row],[Wasser Normallisiert]]*2,0)/2)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A1694-5225-4C2F-915B-D4AEBD301D67}">
  <sheetPr codeName="Tabelle1"/>
  <dimension ref="C2:K111"/>
  <sheetViews>
    <sheetView topLeftCell="A21" workbookViewId="0">
      <selection activeCell="G78" sqref="G78"/>
    </sheetView>
  </sheetViews>
  <sheetFormatPr baseColWidth="10" defaultRowHeight="20.100000000000001" customHeight="1" x14ac:dyDescent="0.25"/>
  <cols>
    <col min="1" max="1" width="40.140625" style="1" customWidth="1"/>
    <col min="2" max="2" width="17.28515625" style="1" customWidth="1"/>
    <col min="3" max="3" width="37.85546875" style="1" bestFit="1" customWidth="1"/>
    <col min="4" max="16384" width="11.42578125" style="1"/>
  </cols>
  <sheetData>
    <row r="2" spans="3:11" ht="20.100000000000001" customHeight="1" x14ac:dyDescent="0.25">
      <c r="C2" s="14" t="s">
        <v>108</v>
      </c>
      <c r="D2" s="14"/>
      <c r="E2" s="14"/>
      <c r="F2" s="2"/>
      <c r="G2" s="2"/>
    </row>
    <row r="4" spans="3:11" ht="20.100000000000001" customHeight="1" x14ac:dyDescent="0.25">
      <c r="G4" s="13" t="s">
        <v>113</v>
      </c>
      <c r="H4" s="13"/>
      <c r="I4" s="13"/>
      <c r="J4" s="13"/>
      <c r="K4" s="13"/>
    </row>
    <row r="7" spans="3:11" ht="20.100000000000001" customHeight="1" x14ac:dyDescent="0.25">
      <c r="C7" s="1" t="s">
        <v>109</v>
      </c>
      <c r="D7" s="1">
        <f>COUNTIF(Zutaten_Daten!D:D,"W")</f>
        <v>27</v>
      </c>
    </row>
    <row r="8" spans="3:11" ht="20.100000000000001" customHeight="1" x14ac:dyDescent="0.25">
      <c r="C8" s="1" t="s">
        <v>110</v>
      </c>
      <c r="D8" s="1">
        <f>COUNTIF(Zutaten_Daten!D:D,"D")</f>
        <v>6</v>
      </c>
    </row>
    <row r="9" spans="3:11" ht="20.100000000000001" customHeight="1" x14ac:dyDescent="0.25">
      <c r="C9" s="1" t="s">
        <v>111</v>
      </c>
      <c r="D9" s="1">
        <f>COUNTIF(Zutaten_Daten!D:D,"B")</f>
        <v>67</v>
      </c>
    </row>
    <row r="17" spans="3:7" ht="20.100000000000001" customHeight="1" x14ac:dyDescent="0.25">
      <c r="C17" s="14" t="s">
        <v>112</v>
      </c>
      <c r="D17" s="14"/>
      <c r="E17" s="14"/>
      <c r="F17" s="14"/>
      <c r="G17" s="14"/>
    </row>
    <row r="19" spans="3:7" ht="20.100000000000001" customHeight="1" x14ac:dyDescent="0.25">
      <c r="C19" s="13" t="s">
        <v>114</v>
      </c>
      <c r="D19" s="13"/>
      <c r="E19" s="13"/>
    </row>
    <row r="32" spans="3:7" ht="20.100000000000001" customHeight="1" x14ac:dyDescent="0.25">
      <c r="C32" s="15" t="s">
        <v>115</v>
      </c>
      <c r="D32" s="15"/>
      <c r="E32" s="16" t="s">
        <v>116</v>
      </c>
      <c r="F32" s="17"/>
    </row>
    <row r="33" spans="3:6" ht="20.100000000000001" customHeight="1" x14ac:dyDescent="0.25">
      <c r="C33" s="15"/>
      <c r="D33" s="15"/>
      <c r="E33" s="17"/>
      <c r="F33" s="17"/>
    </row>
    <row r="50" spans="3:7" ht="20.100000000000001" customHeight="1" x14ac:dyDescent="0.25">
      <c r="C50" s="13" t="s">
        <v>119</v>
      </c>
      <c r="D50" s="13"/>
      <c r="E50" s="13"/>
    </row>
    <row r="52" spans="3:7" ht="20.100000000000001" customHeight="1" x14ac:dyDescent="0.3">
      <c r="C52" s="1" t="s">
        <v>120</v>
      </c>
      <c r="D52" s="1">
        <f>COUNTIF(Zutaten_Daten!G:G,0.5)</f>
        <v>17</v>
      </c>
      <c r="E52" s="3">
        <v>0.5</v>
      </c>
    </row>
    <row r="53" spans="3:7" ht="20.100000000000001" customHeight="1" x14ac:dyDescent="0.3">
      <c r="C53" s="1" t="s">
        <v>121</v>
      </c>
      <c r="D53" s="1">
        <f>COUNTIF(Zutaten_Daten!G:G,1)</f>
        <v>21</v>
      </c>
      <c r="E53" s="3">
        <v>1</v>
      </c>
    </row>
    <row r="54" spans="3:7" ht="20.100000000000001" customHeight="1" x14ac:dyDescent="0.3">
      <c r="C54" s="1" t="s">
        <v>122</v>
      </c>
      <c r="D54" s="1">
        <f>COUNTIF(Zutaten_Daten!G:G,1.5)</f>
        <v>9</v>
      </c>
      <c r="E54" s="3">
        <v>1.5</v>
      </c>
    </row>
    <row r="55" spans="3:7" ht="20.100000000000001" customHeight="1" x14ac:dyDescent="0.3">
      <c r="C55" s="1" t="s">
        <v>123</v>
      </c>
      <c r="D55" s="1">
        <f>COUNTIF(Zutaten_Daten!G:G,2)</f>
        <v>8</v>
      </c>
      <c r="E55" s="3">
        <v>2</v>
      </c>
    </row>
    <row r="56" spans="3:7" ht="20.100000000000001" customHeight="1" x14ac:dyDescent="0.3">
      <c r="C56" s="1" t="s">
        <v>127</v>
      </c>
      <c r="D56" s="1">
        <f>COUNTIF(Zutaten_Daten!G:G,2.5)</f>
        <v>12</v>
      </c>
      <c r="E56" s="3">
        <v>2.5</v>
      </c>
    </row>
    <row r="57" spans="3:7" ht="20.100000000000001" customHeight="1" x14ac:dyDescent="0.3">
      <c r="C57" s="1" t="s">
        <v>124</v>
      </c>
      <c r="D57" s="1">
        <f>COUNTIF(Zutaten_Daten!G:G,3)</f>
        <v>4</v>
      </c>
      <c r="E57" s="3">
        <v>3</v>
      </c>
    </row>
    <row r="58" spans="3:7" ht="20.100000000000001" customHeight="1" x14ac:dyDescent="0.3">
      <c r="C58" s="1" t="s">
        <v>128</v>
      </c>
      <c r="D58" s="1">
        <f>COUNTIF(Zutaten_Daten!G:G,3.5)</f>
        <v>5</v>
      </c>
      <c r="E58" s="3">
        <v>3.5</v>
      </c>
    </row>
    <row r="59" spans="3:7" ht="20.100000000000001" customHeight="1" x14ac:dyDescent="0.3">
      <c r="C59" s="1" t="s">
        <v>125</v>
      </c>
      <c r="D59" s="1">
        <f>COUNTIF(Zutaten_Daten!G:G,4)</f>
        <v>6</v>
      </c>
      <c r="E59" s="3">
        <v>4</v>
      </c>
    </row>
    <row r="60" spans="3:7" ht="20.100000000000001" customHeight="1" x14ac:dyDescent="0.3">
      <c r="C60" s="1" t="s">
        <v>129</v>
      </c>
      <c r="D60" s="1">
        <f>COUNTIF(Zutaten_Daten!G:G,4.5)</f>
        <v>8</v>
      </c>
      <c r="E60" s="3">
        <v>4.5</v>
      </c>
    </row>
    <row r="61" spans="3:7" ht="20.100000000000001" customHeight="1" x14ac:dyDescent="0.3">
      <c r="C61" s="1" t="s">
        <v>126</v>
      </c>
      <c r="D61" s="1">
        <f>COUNTIF(Zutaten_Daten!G:G,5)</f>
        <v>10</v>
      </c>
      <c r="E61" s="3">
        <v>5</v>
      </c>
    </row>
    <row r="64" spans="3:7" ht="20.100000000000001" customHeight="1" x14ac:dyDescent="0.25">
      <c r="C64" s="14" t="s">
        <v>130</v>
      </c>
      <c r="D64" s="14"/>
      <c r="E64" s="14"/>
      <c r="F64" s="14"/>
      <c r="G64" s="14"/>
    </row>
    <row r="66" spans="3:6" ht="20.100000000000001" customHeight="1" x14ac:dyDescent="0.25">
      <c r="C66" s="13" t="s">
        <v>131</v>
      </c>
      <c r="D66" s="13"/>
      <c r="E66" s="13"/>
    </row>
    <row r="79" spans="3:6" ht="20.100000000000001" customHeight="1" x14ac:dyDescent="0.25">
      <c r="C79" s="15" t="s">
        <v>115</v>
      </c>
      <c r="D79" s="15"/>
      <c r="E79" s="16" t="s">
        <v>135</v>
      </c>
      <c r="F79" s="17"/>
    </row>
    <row r="80" spans="3:6" ht="20.100000000000001" customHeight="1" x14ac:dyDescent="0.25">
      <c r="C80" s="15"/>
      <c r="D80" s="15"/>
      <c r="E80" s="17"/>
      <c r="F80" s="17"/>
    </row>
    <row r="100" spans="3:5" ht="20.100000000000001" customHeight="1" x14ac:dyDescent="0.25">
      <c r="C100" s="13" t="s">
        <v>134</v>
      </c>
      <c r="D100" s="13"/>
      <c r="E100" s="13"/>
    </row>
    <row r="102" spans="3:5" ht="20.100000000000001" customHeight="1" x14ac:dyDescent="0.3">
      <c r="C102" s="1" t="s">
        <v>136</v>
      </c>
      <c r="D102" s="1">
        <f>COUNTIF(Zutaten_Daten!J:J,0.5)</f>
        <v>26</v>
      </c>
      <c r="E102" s="3">
        <v>0.5</v>
      </c>
    </row>
    <row r="103" spans="3:5" ht="20.100000000000001" customHeight="1" x14ac:dyDescent="0.3">
      <c r="C103" s="1" t="s">
        <v>137</v>
      </c>
      <c r="D103" s="1">
        <f>COUNTIF(Zutaten_Daten!J:J,1)</f>
        <v>11</v>
      </c>
      <c r="E103" s="3">
        <v>1</v>
      </c>
    </row>
    <row r="104" spans="3:5" ht="20.100000000000001" customHeight="1" x14ac:dyDescent="0.3">
      <c r="C104" s="1" t="s">
        <v>138</v>
      </c>
      <c r="D104" s="1">
        <f>COUNTIF(Zutaten_Daten!J:J,1.5)</f>
        <v>13</v>
      </c>
      <c r="E104" s="3">
        <v>1.5</v>
      </c>
    </row>
    <row r="105" spans="3:5" ht="20.100000000000001" customHeight="1" x14ac:dyDescent="0.3">
      <c r="C105" s="1" t="s">
        <v>139</v>
      </c>
      <c r="D105" s="1">
        <f>COUNTIF(Zutaten_Daten!J:J,2)</f>
        <v>11</v>
      </c>
      <c r="E105" s="3">
        <v>2</v>
      </c>
    </row>
    <row r="106" spans="3:5" ht="20.100000000000001" customHeight="1" x14ac:dyDescent="0.3">
      <c r="C106" s="1" t="s">
        <v>140</v>
      </c>
      <c r="D106" s="1">
        <f>COUNTIF(Zutaten_Daten!J:J,2.5)</f>
        <v>9</v>
      </c>
      <c r="E106" s="3">
        <v>2.5</v>
      </c>
    </row>
    <row r="107" spans="3:5" ht="20.100000000000001" customHeight="1" x14ac:dyDescent="0.3">
      <c r="C107" s="1" t="s">
        <v>141</v>
      </c>
      <c r="D107" s="1">
        <f>COUNTIF(Zutaten_Daten!J:J,3)</f>
        <v>7</v>
      </c>
      <c r="E107" s="3">
        <v>3</v>
      </c>
    </row>
    <row r="108" spans="3:5" ht="20.100000000000001" customHeight="1" x14ac:dyDescent="0.3">
      <c r="C108" s="1" t="s">
        <v>142</v>
      </c>
      <c r="D108" s="1">
        <f>COUNTIF(Zutaten_Daten!J:J,3.5)</f>
        <v>5</v>
      </c>
      <c r="E108" s="3">
        <v>3.5</v>
      </c>
    </row>
    <row r="109" spans="3:5" ht="20.100000000000001" customHeight="1" x14ac:dyDescent="0.3">
      <c r="C109" s="1" t="s">
        <v>143</v>
      </c>
      <c r="D109" s="1">
        <f>COUNTIF(Zutaten_Daten!J:J,4)</f>
        <v>7</v>
      </c>
      <c r="E109" s="3">
        <v>4</v>
      </c>
    </row>
    <row r="110" spans="3:5" ht="20.100000000000001" customHeight="1" x14ac:dyDescent="0.3">
      <c r="C110" s="1" t="s">
        <v>144</v>
      </c>
      <c r="D110" s="1">
        <f>COUNTIF(Zutaten_Daten!J:J,4.5)</f>
        <v>0</v>
      </c>
      <c r="E110" s="3">
        <v>4.5</v>
      </c>
    </row>
    <row r="111" spans="3:5" ht="20.100000000000001" customHeight="1" x14ac:dyDescent="0.3">
      <c r="C111" s="1" t="s">
        <v>145</v>
      </c>
      <c r="D111" s="1">
        <f>COUNTIF(Zutaten_Daten!J:J,5)</f>
        <v>11</v>
      </c>
      <c r="E111" s="3">
        <v>5</v>
      </c>
    </row>
  </sheetData>
  <mergeCells count="12">
    <mergeCell ref="C100:E100"/>
    <mergeCell ref="C2:E2"/>
    <mergeCell ref="C50:E50"/>
    <mergeCell ref="C64:G64"/>
    <mergeCell ref="C66:E66"/>
    <mergeCell ref="C79:D80"/>
    <mergeCell ref="E79:F80"/>
    <mergeCell ref="C17:G17"/>
    <mergeCell ref="G4:K4"/>
    <mergeCell ref="C19:E19"/>
    <mergeCell ref="C32:D33"/>
    <mergeCell ref="E32:F33"/>
  </mergeCells>
  <phoneticPr fontId="10" type="noConversion"/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zwei">
                <anchor moveWithCells="1" sizeWithCells="1">
                  <from>
                    <xdr:col>5</xdr:col>
                    <xdr:colOff>466725</xdr:colOff>
                    <xdr:row>15</xdr:row>
                    <xdr:rowOff>209550</xdr:rowOff>
                  </from>
                  <to>
                    <xdr:col>6</xdr:col>
                    <xdr:colOff>704850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sser">
                <anchor moveWithCells="1" sizeWithCells="1">
                  <from>
                    <xdr:col>6</xdr:col>
                    <xdr:colOff>114300</xdr:colOff>
                    <xdr:row>62</xdr:row>
                    <xdr:rowOff>200025</xdr:rowOff>
                  </from>
                  <to>
                    <xdr:col>7</xdr:col>
                    <xdr:colOff>352425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um">
                <anchor moveWithCells="1" sizeWithCells="1">
                  <from>
                    <xdr:col>5</xdr:col>
                    <xdr:colOff>323850</xdr:colOff>
                    <xdr:row>0</xdr:row>
                    <xdr:rowOff>209550</xdr:rowOff>
                  </from>
                  <to>
                    <xdr:col>6</xdr:col>
                    <xdr:colOff>561975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CB4C4-918E-4C69-AFE1-0AC4D93AF0E1}">
  <sheetPr codeName="Tabelle3"/>
  <dimension ref="C2:G103"/>
  <sheetViews>
    <sheetView topLeftCell="A18" workbookViewId="0">
      <selection activeCell="M70" sqref="M70"/>
    </sheetView>
  </sheetViews>
  <sheetFormatPr baseColWidth="10" defaultRowHeight="20.100000000000001" customHeight="1" x14ac:dyDescent="0.25"/>
  <cols>
    <col min="1" max="1" width="40.140625" style="1" customWidth="1"/>
    <col min="2" max="2" width="17.28515625" style="1" customWidth="1"/>
    <col min="3" max="3" width="37.85546875" style="1" bestFit="1" customWidth="1"/>
    <col min="4" max="16384" width="11.42578125" style="1"/>
  </cols>
  <sheetData>
    <row r="2" spans="3:7" ht="20.100000000000001" customHeight="1" x14ac:dyDescent="0.25">
      <c r="C2" s="14"/>
      <c r="D2" s="14"/>
      <c r="E2" s="14"/>
      <c r="F2" s="2"/>
      <c r="G2" s="2"/>
    </row>
    <row r="5" spans="3:7" ht="20.100000000000001" customHeight="1" x14ac:dyDescent="0.25">
      <c r="C5" s="14" t="s">
        <v>112</v>
      </c>
      <c r="D5" s="14"/>
      <c r="E5" s="14"/>
      <c r="F5" s="14"/>
      <c r="G5" s="14"/>
    </row>
    <row r="7" spans="3:7" ht="20.100000000000001" customHeight="1" x14ac:dyDescent="0.25">
      <c r="C7" s="13" t="s">
        <v>114</v>
      </c>
      <c r="D7" s="13"/>
      <c r="E7" s="13"/>
    </row>
    <row r="20" spans="3:7" ht="20.100000000000001" customHeight="1" x14ac:dyDescent="0.25">
      <c r="C20" s="15" t="s">
        <v>115</v>
      </c>
      <c r="D20" s="15"/>
      <c r="E20" s="16" t="s">
        <v>589</v>
      </c>
      <c r="F20" s="16"/>
      <c r="G20" s="16"/>
    </row>
    <row r="21" spans="3:7" ht="20.100000000000001" customHeight="1" x14ac:dyDescent="0.25">
      <c r="C21" s="15"/>
      <c r="D21" s="15"/>
      <c r="E21" s="16"/>
      <c r="F21" s="16"/>
      <c r="G21" s="16"/>
    </row>
    <row r="42" spans="3:5" ht="20.100000000000001" customHeight="1" x14ac:dyDescent="0.25">
      <c r="C42" s="13" t="s">
        <v>119</v>
      </c>
      <c r="D42" s="13"/>
      <c r="E42" s="13"/>
    </row>
    <row r="44" spans="3:5" ht="20.100000000000001" customHeight="1" x14ac:dyDescent="0.3">
      <c r="C44" s="1" t="s">
        <v>120</v>
      </c>
      <c r="D44" s="1">
        <f>COUNTIF(Rezept_Daten!F:F,0.5)</f>
        <v>13</v>
      </c>
      <c r="E44" s="3">
        <v>0.5</v>
      </c>
    </row>
    <row r="45" spans="3:5" ht="20.100000000000001" customHeight="1" x14ac:dyDescent="0.3">
      <c r="C45" s="1" t="s">
        <v>121</v>
      </c>
      <c r="D45" s="1">
        <f>COUNTIF(Rezept_Daten!F:F,1)</f>
        <v>31</v>
      </c>
      <c r="E45" s="3">
        <v>1</v>
      </c>
    </row>
    <row r="46" spans="3:5" ht="20.100000000000001" customHeight="1" x14ac:dyDescent="0.3">
      <c r="C46" s="1" t="s">
        <v>122</v>
      </c>
      <c r="D46" s="1">
        <f>COUNTIF(Rezept_Daten!F:F,1.5)</f>
        <v>50</v>
      </c>
      <c r="E46" s="3">
        <v>1.5</v>
      </c>
    </row>
    <row r="47" spans="3:5" ht="20.100000000000001" customHeight="1" x14ac:dyDescent="0.3">
      <c r="C47" s="1" t="s">
        <v>123</v>
      </c>
      <c r="D47" s="1">
        <f>COUNTIF(Rezept_Daten!F:F,2)</f>
        <v>79</v>
      </c>
      <c r="E47" s="3">
        <v>2</v>
      </c>
    </row>
    <row r="48" spans="3:5" ht="20.100000000000001" customHeight="1" x14ac:dyDescent="0.3">
      <c r="C48" s="1" t="s">
        <v>127</v>
      </c>
      <c r="D48" s="1">
        <f>COUNTIF(Rezept_Daten!F:F,2.5)</f>
        <v>82</v>
      </c>
      <c r="E48" s="3">
        <v>2.5</v>
      </c>
    </row>
    <row r="49" spans="3:7" ht="20.100000000000001" customHeight="1" x14ac:dyDescent="0.3">
      <c r="C49" s="1" t="s">
        <v>124</v>
      </c>
      <c r="D49" s="1">
        <f>COUNTIF(Rezept_Daten!F:F,3)</f>
        <v>78</v>
      </c>
      <c r="E49" s="3">
        <v>3</v>
      </c>
    </row>
    <row r="50" spans="3:7" ht="20.100000000000001" customHeight="1" x14ac:dyDescent="0.3">
      <c r="C50" s="1" t="s">
        <v>128</v>
      </c>
      <c r="D50" s="1">
        <f>COUNTIF(Rezept_Daten!F:F,3.5)</f>
        <v>62</v>
      </c>
      <c r="E50" s="3">
        <v>3.5</v>
      </c>
    </row>
    <row r="51" spans="3:7" ht="20.100000000000001" customHeight="1" x14ac:dyDescent="0.3">
      <c r="C51" s="1" t="s">
        <v>125</v>
      </c>
      <c r="D51" s="1">
        <f>COUNTIF(Rezept_Daten!F:F,4)</f>
        <v>17</v>
      </c>
      <c r="E51" s="3">
        <v>4</v>
      </c>
    </row>
    <row r="52" spans="3:7" ht="20.100000000000001" customHeight="1" x14ac:dyDescent="0.3">
      <c r="C52" s="1" t="s">
        <v>129</v>
      </c>
      <c r="D52" s="1">
        <f>COUNTIF(Rezept_Daten!F:F,4.5)</f>
        <v>14</v>
      </c>
      <c r="E52" s="3">
        <v>4.5</v>
      </c>
    </row>
    <row r="53" spans="3:7" ht="20.100000000000001" customHeight="1" x14ac:dyDescent="0.3">
      <c r="C53" s="1" t="s">
        <v>126</v>
      </c>
      <c r="D53" s="1">
        <f>COUNTIF(Rezept_Daten!F:F,5)</f>
        <v>20</v>
      </c>
      <c r="E53" s="3">
        <v>5</v>
      </c>
    </row>
    <row r="56" spans="3:7" ht="20.100000000000001" customHeight="1" x14ac:dyDescent="0.25">
      <c r="C56" s="14" t="s">
        <v>130</v>
      </c>
      <c r="D56" s="14"/>
      <c r="E56" s="14"/>
      <c r="F56" s="14"/>
      <c r="G56" s="14"/>
    </row>
    <row r="58" spans="3:7" ht="20.100000000000001" customHeight="1" x14ac:dyDescent="0.25">
      <c r="C58" s="13" t="s">
        <v>131</v>
      </c>
      <c r="D58" s="13"/>
      <c r="E58" s="13"/>
    </row>
    <row r="71" spans="3:7" ht="20.100000000000001" customHeight="1" x14ac:dyDescent="0.25">
      <c r="C71" s="15" t="s">
        <v>115</v>
      </c>
      <c r="D71" s="15"/>
      <c r="E71" s="16" t="s">
        <v>590</v>
      </c>
      <c r="F71" s="16"/>
      <c r="G71" s="16"/>
    </row>
    <row r="72" spans="3:7" ht="20.100000000000001" customHeight="1" x14ac:dyDescent="0.25">
      <c r="C72" s="15"/>
      <c r="D72" s="15"/>
      <c r="E72" s="16"/>
      <c r="F72" s="16"/>
      <c r="G72" s="16"/>
    </row>
    <row r="92" spans="3:5" ht="20.100000000000001" customHeight="1" x14ac:dyDescent="0.25">
      <c r="C92" s="13" t="s">
        <v>134</v>
      </c>
      <c r="D92" s="13"/>
      <c r="E92" s="13"/>
    </row>
    <row r="94" spans="3:5" ht="20.100000000000001" customHeight="1" x14ac:dyDescent="0.3">
      <c r="C94" s="1" t="s">
        <v>136</v>
      </c>
      <c r="D94" s="1">
        <f>COUNTIF(Rezept_Daten!I:I,0.5)</f>
        <v>8</v>
      </c>
      <c r="E94" s="3">
        <v>0.5</v>
      </c>
    </row>
    <row r="95" spans="3:5" ht="20.100000000000001" customHeight="1" x14ac:dyDescent="0.3">
      <c r="C95" s="1" t="s">
        <v>137</v>
      </c>
      <c r="D95" s="1">
        <f>COUNTIF(Rezept_Daten!I:I,1)</f>
        <v>29</v>
      </c>
      <c r="E95" s="3">
        <v>1</v>
      </c>
    </row>
    <row r="96" spans="3:5" ht="20.100000000000001" customHeight="1" x14ac:dyDescent="0.3">
      <c r="C96" s="1" t="s">
        <v>138</v>
      </c>
      <c r="D96" s="1">
        <f>COUNTIF(Rezept_Daten!I:I,1.5)</f>
        <v>68</v>
      </c>
      <c r="E96" s="3">
        <v>1.5</v>
      </c>
    </row>
    <row r="97" spans="3:5" ht="20.100000000000001" customHeight="1" x14ac:dyDescent="0.3">
      <c r="C97" s="1" t="s">
        <v>139</v>
      </c>
      <c r="D97" s="1">
        <f>COUNTIF(Rezept_Daten!I:I,2)</f>
        <v>85</v>
      </c>
      <c r="E97" s="3">
        <v>2</v>
      </c>
    </row>
    <row r="98" spans="3:5" ht="20.100000000000001" customHeight="1" x14ac:dyDescent="0.3">
      <c r="C98" s="1" t="s">
        <v>140</v>
      </c>
      <c r="D98" s="1">
        <f>COUNTIF(Rezept_Daten!I:I,2.5)</f>
        <v>98</v>
      </c>
      <c r="E98" s="3">
        <v>2.5</v>
      </c>
    </row>
    <row r="99" spans="3:5" ht="20.100000000000001" customHeight="1" x14ac:dyDescent="0.3">
      <c r="C99" s="1" t="s">
        <v>141</v>
      </c>
      <c r="D99" s="1">
        <f>COUNTIF(Rezept_Daten!I:I,3)</f>
        <v>64</v>
      </c>
      <c r="E99" s="3">
        <v>3</v>
      </c>
    </row>
    <row r="100" spans="3:5" ht="20.100000000000001" customHeight="1" x14ac:dyDescent="0.3">
      <c r="C100" s="1" t="s">
        <v>142</v>
      </c>
      <c r="D100" s="1">
        <f>COUNTIF(Rezept_Daten!I:I,3.5)</f>
        <v>50</v>
      </c>
      <c r="E100" s="3">
        <v>3.5</v>
      </c>
    </row>
    <row r="101" spans="3:5" ht="20.100000000000001" customHeight="1" x14ac:dyDescent="0.3">
      <c r="C101" s="1" t="s">
        <v>143</v>
      </c>
      <c r="D101" s="1">
        <f>COUNTIF(Rezept_Daten!I:I,4)</f>
        <v>21</v>
      </c>
      <c r="E101" s="3">
        <v>4</v>
      </c>
    </row>
    <row r="102" spans="3:5" ht="20.100000000000001" customHeight="1" x14ac:dyDescent="0.3">
      <c r="C102" s="1" t="s">
        <v>144</v>
      </c>
      <c r="D102" s="1">
        <f>COUNTIF(Rezept_Daten!I:I,4.5)</f>
        <v>16</v>
      </c>
      <c r="E102" s="3">
        <v>4.5</v>
      </c>
    </row>
    <row r="103" spans="3:5" ht="20.100000000000001" customHeight="1" x14ac:dyDescent="0.3">
      <c r="C103" s="1" t="s">
        <v>145</v>
      </c>
      <c r="D103" s="1">
        <f>COUNTIF(Rezept_Daten!I:I,5)</f>
        <v>7</v>
      </c>
      <c r="E103" s="3">
        <v>5</v>
      </c>
    </row>
  </sheetData>
  <mergeCells count="11">
    <mergeCell ref="C92:E92"/>
    <mergeCell ref="C2:E2"/>
    <mergeCell ref="C5:G5"/>
    <mergeCell ref="C7:E7"/>
    <mergeCell ref="C20:D21"/>
    <mergeCell ref="E20:G21"/>
    <mergeCell ref="E71:G72"/>
    <mergeCell ref="C42:E42"/>
    <mergeCell ref="C56:G56"/>
    <mergeCell ref="C58:E58"/>
    <mergeCell ref="C71:D72"/>
  </mergeCells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zwei2">
                <anchor moveWithCells="1" sizeWithCells="1">
                  <from>
                    <xdr:col>5</xdr:col>
                    <xdr:colOff>466725</xdr:colOff>
                    <xdr:row>3</xdr:row>
                    <xdr:rowOff>209550</xdr:rowOff>
                  </from>
                  <to>
                    <xdr:col>6</xdr:col>
                    <xdr:colOff>704850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asser2">
                <anchor moveWithCells="1" sizeWithCells="1">
                  <from>
                    <xdr:col>6</xdr:col>
                    <xdr:colOff>114300</xdr:colOff>
                    <xdr:row>54</xdr:row>
                    <xdr:rowOff>200025</xdr:rowOff>
                  </from>
                  <to>
                    <xdr:col>7</xdr:col>
                    <xdr:colOff>352425</xdr:colOff>
                    <xdr:row>56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NumRecipe">
                <anchor moveWithCells="1" sizeWithCells="1">
                  <from>
                    <xdr:col>5</xdr:col>
                    <xdr:colOff>457200</xdr:colOff>
                    <xdr:row>1</xdr:row>
                    <xdr:rowOff>219075</xdr:rowOff>
                  </from>
                  <to>
                    <xdr:col>6</xdr:col>
                    <xdr:colOff>695325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C80E0-C6FF-4E5B-AEE1-7200ED32B8F8}">
  <sheetPr codeName="Tabelle2"/>
  <dimension ref="B2:J102"/>
  <sheetViews>
    <sheetView tabSelected="1" topLeftCell="A4" workbookViewId="0">
      <selection activeCell="B33" sqref="B33"/>
    </sheetView>
  </sheetViews>
  <sheetFormatPr baseColWidth="10" defaultRowHeight="15" customHeight="1" x14ac:dyDescent="0.25"/>
  <cols>
    <col min="2" max="10" width="20.7109375" style="4" customWidth="1"/>
  </cols>
  <sheetData>
    <row r="2" spans="2:10" ht="15" customHeight="1" x14ac:dyDescent="0.25">
      <c r="B2" s="4" t="s">
        <v>105</v>
      </c>
      <c r="C2" s="4" t="s">
        <v>19</v>
      </c>
      <c r="D2" s="4" t="s">
        <v>20</v>
      </c>
      <c r="E2" s="4" t="s">
        <v>106</v>
      </c>
      <c r="F2" s="4" t="s">
        <v>118</v>
      </c>
      <c r="G2" s="4" t="s">
        <v>117</v>
      </c>
      <c r="H2" s="4" t="s">
        <v>107</v>
      </c>
      <c r="I2" s="4" t="s">
        <v>132</v>
      </c>
      <c r="J2" s="4" t="s">
        <v>133</v>
      </c>
    </row>
    <row r="3" spans="2:10" ht="15" customHeight="1" x14ac:dyDescent="0.25">
      <c r="B3" s="5">
        <v>1</v>
      </c>
      <c r="C3" s="5" t="s">
        <v>0</v>
      </c>
      <c r="D3" s="6" t="s">
        <v>1</v>
      </c>
      <c r="E3" s="9">
        <v>1360</v>
      </c>
      <c r="F3" s="7">
        <f>(Tabelle13[[#This Row],[CO2 /100g]]^(1/3.5))-1.9</f>
        <v>5.9577250977373328</v>
      </c>
      <c r="G3" s="7">
        <f>MIN(5,ROUNDUP(Tabelle13[[#This Row],[CO2 Normallisiert]]*2,0)/2)</f>
        <v>5</v>
      </c>
      <c r="H3" s="9">
        <v>1550</v>
      </c>
      <c r="I3" s="6">
        <f>MAX(0,(Tabelle13[[#This Row],[Wasser / 100g]]^(1/3.5))-2.3)</f>
        <v>5.8568662724385687</v>
      </c>
      <c r="J3" s="9">
        <f>MIN(5,ROUNDUP(Tabelle13[[#This Row],[Wasser Normallisiert]]*2,0)/2)</f>
        <v>5</v>
      </c>
    </row>
    <row r="4" spans="2:10" ht="15" customHeight="1" x14ac:dyDescent="0.25">
      <c r="B4" s="5">
        <v>2</v>
      </c>
      <c r="C4" s="5" t="s">
        <v>2</v>
      </c>
      <c r="D4" s="6" t="s">
        <v>1</v>
      </c>
      <c r="E4" s="6">
        <v>460</v>
      </c>
      <c r="F4" s="7">
        <f>(Tabelle13[[#This Row],[CO2 /100g]]^(1/3.5))-1.9</f>
        <v>3.864849208447652</v>
      </c>
      <c r="G4" s="7">
        <f>MIN(5,ROUNDUP(Tabelle13[[#This Row],[CO2 Normallisiert]]*2,0)/2)</f>
        <v>4</v>
      </c>
      <c r="H4" s="6">
        <v>602</v>
      </c>
      <c r="I4" s="6">
        <f>MAX(0,(Tabelle13[[#This Row],[Wasser / 100g]]^(1/3.5))-2.3)</f>
        <v>3.9254453650252472</v>
      </c>
      <c r="J4" s="6">
        <f>MIN(5,ROUNDUP(Tabelle13[[#This Row],[Wasser Normallisiert]]*2,0)/2)</f>
        <v>4</v>
      </c>
    </row>
    <row r="5" spans="2:10" ht="15" customHeight="1" x14ac:dyDescent="0.25">
      <c r="B5" s="6">
        <v>3</v>
      </c>
      <c r="C5" s="6" t="s">
        <v>3</v>
      </c>
      <c r="D5" s="6" t="s">
        <v>1</v>
      </c>
      <c r="E5" s="9">
        <v>1360</v>
      </c>
      <c r="F5" s="7">
        <f>(Tabelle13[[#This Row],[CO2 /100g]]^(1/3.5))-1.9</f>
        <v>5.9577250977373328</v>
      </c>
      <c r="G5" s="7">
        <f>MIN(5,ROUNDUP(Tabelle13[[#This Row],[CO2 Normallisiert]]*2,0)/2)</f>
        <v>5</v>
      </c>
      <c r="H5" s="9">
        <v>1000</v>
      </c>
      <c r="I5" s="6">
        <f>MAX(0,(Tabelle13[[#This Row],[Wasser / 100g]]^(1/3.5))-2.3)</f>
        <v>4.8968567300115202</v>
      </c>
      <c r="J5" s="9">
        <f>MIN(5,ROUNDUP(Tabelle13[[#This Row],[Wasser Normallisiert]]*2,0)/2)</f>
        <v>5</v>
      </c>
    </row>
    <row r="6" spans="2:10" ht="15" customHeight="1" x14ac:dyDescent="0.25">
      <c r="B6" s="6">
        <v>4</v>
      </c>
      <c r="C6" s="6" t="s">
        <v>4</v>
      </c>
      <c r="D6" s="6" t="s">
        <v>1</v>
      </c>
      <c r="E6" s="6">
        <v>550</v>
      </c>
      <c r="F6" s="7">
        <f>(Tabelle13[[#This Row],[CO2 /100g]]^(1/3.5))-1.9</f>
        <v>4.1668152312295224</v>
      </c>
      <c r="G6" s="7">
        <f>MIN(5,ROUNDUP(Tabelle13[[#This Row],[CO2 Normallisiert]]*2,0)/2)</f>
        <v>4.5</v>
      </c>
      <c r="H6" s="6">
        <v>435</v>
      </c>
      <c r="I6" s="6">
        <f>MAX(0,(Tabelle13[[#This Row],[Wasser / 100g]]^(1/3.5))-2.3)</f>
        <v>3.3735393770107311</v>
      </c>
      <c r="J6" s="6">
        <f>MIN(5,ROUNDUP(Tabelle13[[#This Row],[Wasser Normallisiert]]*2,0)/2)</f>
        <v>3.5</v>
      </c>
    </row>
    <row r="7" spans="2:10" ht="15" customHeight="1" x14ac:dyDescent="0.25">
      <c r="B7" s="6">
        <v>5</v>
      </c>
      <c r="C7" s="6" t="s">
        <v>5</v>
      </c>
      <c r="D7" s="6" t="s">
        <v>1</v>
      </c>
      <c r="E7" s="6">
        <v>620</v>
      </c>
      <c r="F7" s="7">
        <f>(Tabelle13[[#This Row],[CO2 /100g]]^(1/3.5))-1.9</f>
        <v>4.3780706253321888</v>
      </c>
      <c r="G7" s="7">
        <f>MIN(5,ROUNDUP(Tabelle13[[#This Row],[CO2 Normallisiert]]*2,0)/2)</f>
        <v>4.5</v>
      </c>
      <c r="H7" s="6">
        <v>455</v>
      </c>
      <c r="I7" s="6">
        <f>MAX(0,(Tabelle13[[#This Row],[Wasser / 100g]]^(1/3.5))-2.3)</f>
        <v>3.4468760149212496</v>
      </c>
      <c r="J7" s="6">
        <f>MIN(5,ROUNDUP(Tabelle13[[#This Row],[Wasser Normallisiert]]*2,0)/2)</f>
        <v>3.5</v>
      </c>
    </row>
    <row r="8" spans="2:10" ht="15" customHeight="1" x14ac:dyDescent="0.25">
      <c r="B8" s="6">
        <v>6</v>
      </c>
      <c r="C8" s="6" t="s">
        <v>6</v>
      </c>
      <c r="D8" s="6" t="s">
        <v>1</v>
      </c>
      <c r="E8" s="6">
        <v>207</v>
      </c>
      <c r="F8" s="7">
        <f>(Tabelle13[[#This Row],[CO2 /100g]]^(1/3.5))-1.9</f>
        <v>2.6888706173564478</v>
      </c>
      <c r="G8" s="7">
        <f>MIN(5,ROUNDUP(Tabelle13[[#This Row],[CO2 Normallisiert]]*2,0)/2)</f>
        <v>3</v>
      </c>
      <c r="H8" s="6">
        <v>435</v>
      </c>
      <c r="I8" s="6">
        <f>MAX(0,(Tabelle13[[#This Row],[Wasser / 100g]]^(1/3.5))-2.3)</f>
        <v>3.3735393770107311</v>
      </c>
      <c r="J8" s="6">
        <f>MIN(5,ROUNDUP(Tabelle13[[#This Row],[Wasser Normallisiert]]*2,0)/2)</f>
        <v>3.5</v>
      </c>
    </row>
    <row r="9" spans="2:10" ht="15" customHeight="1" x14ac:dyDescent="0.25">
      <c r="B9" s="6">
        <v>7</v>
      </c>
      <c r="C9" s="6" t="s">
        <v>7</v>
      </c>
      <c r="D9" s="6" t="s">
        <v>1</v>
      </c>
      <c r="E9" s="6">
        <v>1706</v>
      </c>
      <c r="F9" s="7">
        <f>(Tabelle13[[#This Row],[CO2 /100g]]^(1/3.5))-1.9</f>
        <v>6.4834461509561763</v>
      </c>
      <c r="G9" s="7">
        <f>MIN(5,ROUNDUP(Tabelle13[[#This Row],[CO2 Normallisiert]]*2,0)/2)</f>
        <v>5</v>
      </c>
      <c r="H9" s="9">
        <v>1048</v>
      </c>
      <c r="I9" s="6">
        <f>MAX(0,(Tabelle13[[#This Row],[Wasser / 100g]]^(1/3.5))-2.3)</f>
        <v>4.993909433107202</v>
      </c>
      <c r="J9" s="9">
        <f>MIN(5,ROUNDUP(Tabelle13[[#This Row],[Wasser Normallisiert]]*2,0)/2)</f>
        <v>5</v>
      </c>
    </row>
    <row r="10" spans="2:10" ht="15" customHeight="1" x14ac:dyDescent="0.25">
      <c r="B10" s="6">
        <v>8</v>
      </c>
      <c r="C10" s="6" t="s">
        <v>8</v>
      </c>
      <c r="D10" s="6" t="s">
        <v>1</v>
      </c>
      <c r="E10" s="9">
        <v>1150</v>
      </c>
      <c r="F10" s="7">
        <f>(Tabelle13[[#This Row],[CO2 /100g]]^(1/3.5))-1.9</f>
        <v>5.5900565604249994</v>
      </c>
      <c r="G10" s="7">
        <f>MIN(5,ROUNDUP(Tabelle13[[#This Row],[CO2 Normallisiert]]*2,0)/2)</f>
        <v>5</v>
      </c>
      <c r="H10" s="9">
        <v>1000</v>
      </c>
      <c r="I10" s="6">
        <f>MAX(0,(Tabelle13[[#This Row],[Wasser / 100g]]^(1/3.5))-2.3)</f>
        <v>4.8968567300115202</v>
      </c>
      <c r="J10" s="9">
        <f>MIN(5,ROUNDUP(Tabelle13[[#This Row],[Wasser Normallisiert]]*2,0)/2)</f>
        <v>5</v>
      </c>
    </row>
    <row r="11" spans="2:10" ht="15" customHeight="1" x14ac:dyDescent="0.25">
      <c r="B11" s="5">
        <v>9</v>
      </c>
      <c r="C11" s="5" t="s">
        <v>9</v>
      </c>
      <c r="D11" s="6" t="s">
        <v>1</v>
      </c>
      <c r="E11" s="6">
        <v>290</v>
      </c>
      <c r="F11" s="7">
        <f>(Tabelle13[[#This Row],[CO2 /100g]]^(1/3.5))-1.9</f>
        <v>3.1529184032214261</v>
      </c>
      <c r="G11" s="7">
        <f>MIN(5,ROUNDUP(Tabelle13[[#This Row],[CO2 Normallisiert]]*2,0)/2)</f>
        <v>3.5</v>
      </c>
      <c r="H11" s="9">
        <v>1000</v>
      </c>
      <c r="I11" s="6">
        <f>MAX(0,(Tabelle13[[#This Row],[Wasser / 100g]]^(1/3.5))-2.3)</f>
        <v>4.8968567300115202</v>
      </c>
      <c r="J11" s="9">
        <f>MIN(5,ROUNDUP(Tabelle13[[#This Row],[Wasser Normallisiert]]*2,0)/2)</f>
        <v>5</v>
      </c>
    </row>
    <row r="12" spans="2:10" ht="15" customHeight="1" x14ac:dyDescent="0.25">
      <c r="B12" s="6">
        <v>10</v>
      </c>
      <c r="C12" s="6" t="s">
        <v>10</v>
      </c>
      <c r="D12" s="6" t="s">
        <v>1</v>
      </c>
      <c r="E12" s="6">
        <v>790</v>
      </c>
      <c r="F12" s="7">
        <f>(Tabelle13[[#This Row],[CO2 /100g]]^(1/3.5))-1.9</f>
        <v>4.8281157535710761</v>
      </c>
      <c r="G12" s="7">
        <f>MIN(5,ROUNDUP(Tabelle13[[#This Row],[CO2 Normallisiert]]*2,0)/2)</f>
        <v>5</v>
      </c>
      <c r="H12" s="9">
        <v>1000</v>
      </c>
      <c r="I12" s="6">
        <f>MAX(0,(Tabelle13[[#This Row],[Wasser / 100g]]^(1/3.5))-2.3)</f>
        <v>4.8968567300115202</v>
      </c>
      <c r="J12" s="9">
        <f>MIN(5,ROUNDUP(Tabelle13[[#This Row],[Wasser Normallisiert]]*2,0)/2)</f>
        <v>5</v>
      </c>
    </row>
    <row r="13" spans="2:10" ht="15" customHeight="1" x14ac:dyDescent="0.25">
      <c r="B13" s="6">
        <v>11</v>
      </c>
      <c r="C13" s="6" t="s">
        <v>11</v>
      </c>
      <c r="D13" s="6" t="s">
        <v>12</v>
      </c>
      <c r="E13" s="9">
        <v>1000</v>
      </c>
      <c r="F13" s="7">
        <f>(Tabelle13[[#This Row],[CO2 /100g]]^(1/3.5))-1.9</f>
        <v>5.2968567300115197</v>
      </c>
      <c r="G13" s="7">
        <f>MIN(5,ROUNDUP(Tabelle13[[#This Row],[CO2 Normallisiert]]*2,0)/2)</f>
        <v>5</v>
      </c>
      <c r="H13" s="6">
        <v>149</v>
      </c>
      <c r="I13" s="6">
        <f>MAX(0,(Tabelle13[[#This Row],[Wasser / 100g]]^(1/3.5))-2.3)</f>
        <v>1.8774413611299376</v>
      </c>
      <c r="J13" s="6">
        <f>MIN(5,ROUNDUP(Tabelle13[[#This Row],[Wasser Normallisiert]]*2,0)/2)</f>
        <v>2</v>
      </c>
    </row>
    <row r="14" spans="2:10" ht="15" customHeight="1" x14ac:dyDescent="0.25">
      <c r="B14" s="5">
        <v>12</v>
      </c>
      <c r="C14" s="5" t="s">
        <v>13</v>
      </c>
      <c r="D14" s="6" t="s">
        <v>1</v>
      </c>
      <c r="E14" s="6">
        <v>240</v>
      </c>
      <c r="F14" s="7">
        <f>(Tabelle13[[#This Row],[CO2 /100g]]^(1/3.5))-1.9</f>
        <v>2.8869661312819663</v>
      </c>
      <c r="G14" s="7">
        <f>MIN(5,ROUNDUP(Tabelle13[[#This Row],[CO2 Normallisiert]]*2,0)/2)</f>
        <v>3</v>
      </c>
      <c r="H14" s="6">
        <v>316</v>
      </c>
      <c r="I14" s="6">
        <f>MAX(0,(Tabelle13[[#This Row],[Wasser / 100g]]^(1/3.5))-2.3)</f>
        <v>2.8784085291496897</v>
      </c>
      <c r="J14" s="6">
        <f>MIN(5,ROUNDUP(Tabelle13[[#This Row],[Wasser Normallisiert]]*2,0)/2)</f>
        <v>3</v>
      </c>
    </row>
    <row r="15" spans="2:10" ht="15" customHeight="1" x14ac:dyDescent="0.25">
      <c r="B15" s="6">
        <v>13</v>
      </c>
      <c r="C15" s="6" t="s">
        <v>14</v>
      </c>
      <c r="D15" s="6" t="s">
        <v>15</v>
      </c>
      <c r="E15" s="6">
        <v>250</v>
      </c>
      <c r="F15" s="7">
        <f>(Tabelle13[[#This Row],[CO2 /100g]]^(1/3.5))-1.9</f>
        <v>2.9431254296349851</v>
      </c>
      <c r="G15" s="7">
        <f>MIN(5,ROUNDUP(Tabelle13[[#This Row],[CO2 Normallisiert]]*2,0)/2)</f>
        <v>3</v>
      </c>
      <c r="H15" s="6">
        <v>149</v>
      </c>
      <c r="I15" s="6">
        <f>MAX(0,(Tabelle13[[#This Row],[Wasser / 100g]]^(1/3.5))-2.3)</f>
        <v>1.8774413611299376</v>
      </c>
      <c r="J15" s="6">
        <f>MIN(5,ROUNDUP(Tabelle13[[#This Row],[Wasser Normallisiert]]*2,0)/2)</f>
        <v>2</v>
      </c>
    </row>
    <row r="16" spans="2:10" ht="15" customHeight="1" x14ac:dyDescent="0.25">
      <c r="B16" s="6">
        <v>14</v>
      </c>
      <c r="C16" s="6" t="s">
        <v>16</v>
      </c>
      <c r="D16" s="6" t="s">
        <v>12</v>
      </c>
      <c r="E16" s="6">
        <v>40</v>
      </c>
      <c r="F16" s="7">
        <f>(Tabelle13[[#This Row],[CO2 /100g]]^(1/3.5))-1.9</f>
        <v>0.96900579917018614</v>
      </c>
      <c r="G16" s="7">
        <f>MIN(5,ROUNDUP(Tabelle13[[#This Row],[CO2 Normallisiert]]*2,0)/2)</f>
        <v>1</v>
      </c>
      <c r="H16" s="6">
        <v>316</v>
      </c>
      <c r="I16" s="6">
        <f>MAX(0,(Tabelle13[[#This Row],[Wasser / 100g]]^(1/3.5))-2.3)</f>
        <v>2.8784085291496897</v>
      </c>
      <c r="J16" s="6">
        <f>MIN(5,ROUNDUP(Tabelle13[[#This Row],[Wasser Normallisiert]]*2,0)/2)</f>
        <v>3</v>
      </c>
    </row>
    <row r="17" spans="2:10" ht="15" customHeight="1" x14ac:dyDescent="0.25">
      <c r="B17" s="6">
        <v>15</v>
      </c>
      <c r="C17" s="6" t="s">
        <v>17</v>
      </c>
      <c r="D17" s="6" t="s">
        <v>12</v>
      </c>
      <c r="E17" s="9">
        <v>1250</v>
      </c>
      <c r="F17" s="7">
        <f>(Tabelle13[[#This Row],[CO2 /100g]]^(1/3.5))-1.9</f>
        <v>5.7706370231719539</v>
      </c>
      <c r="G17" s="7">
        <f>MIN(5,ROUNDUP(Tabelle13[[#This Row],[CO2 Normallisiert]]*2,0)/2)</f>
        <v>5</v>
      </c>
      <c r="H17" s="6">
        <v>100</v>
      </c>
      <c r="I17" s="6">
        <f>MAX(0,(Tabelle13[[#This Row],[Wasser / 100g]]^(1/3.5))-2.3)</f>
        <v>1.4275937203149405</v>
      </c>
      <c r="J17" s="6">
        <f>MIN(5,ROUNDUP(Tabelle13[[#This Row],[Wasser Normallisiert]]*2,0)/2)</f>
        <v>1.5</v>
      </c>
    </row>
    <row r="18" spans="2:10" ht="15" customHeight="1" x14ac:dyDescent="0.25">
      <c r="B18" s="6">
        <v>16</v>
      </c>
      <c r="C18" s="6" t="s">
        <v>18</v>
      </c>
      <c r="D18" s="6" t="s">
        <v>12</v>
      </c>
      <c r="E18" s="6">
        <v>120</v>
      </c>
      <c r="F18" s="7">
        <f>(Tabelle13[[#This Row],[CO2 /100g]]^(1/3.5))-1.9</f>
        <v>2.0269175655016967</v>
      </c>
      <c r="G18" s="7">
        <f>MIN(5,ROUNDUP(Tabelle13[[#This Row],[CO2 Normallisiert]]*2,0)/2)</f>
        <v>2.5</v>
      </c>
      <c r="H18" s="6">
        <v>100</v>
      </c>
      <c r="I18" s="6">
        <f>MAX(0,(Tabelle13[[#This Row],[Wasser / 100g]]^(1/3.5))-2.3)</f>
        <v>1.4275937203149405</v>
      </c>
      <c r="J18" s="6">
        <f>MIN(5,ROUNDUP(Tabelle13[[#This Row],[Wasser Normallisiert]]*2,0)/2)</f>
        <v>1.5</v>
      </c>
    </row>
    <row r="19" spans="2:10" ht="15" customHeight="1" x14ac:dyDescent="0.25">
      <c r="B19" s="5">
        <v>17</v>
      </c>
      <c r="C19" s="5" t="s">
        <v>21</v>
      </c>
      <c r="D19" s="6" t="s">
        <v>1</v>
      </c>
      <c r="E19" s="6">
        <v>140</v>
      </c>
      <c r="F19" s="7">
        <f>(Tabelle13[[#This Row],[CO2 /100g]]^(1/3.5))-1.9</f>
        <v>2.2037362327525982</v>
      </c>
      <c r="G19" s="7">
        <f>MIN(5,ROUNDUP(Tabelle13[[#This Row],[CO2 Normallisiert]]*2,0)/2)</f>
        <v>2.5</v>
      </c>
      <c r="H19" s="6">
        <v>106</v>
      </c>
      <c r="I19" s="6">
        <f>MAX(0,(Tabelle13[[#This Row],[Wasser / 100g]]^(1/3.5))-2.3)</f>
        <v>1.4901711248341356</v>
      </c>
      <c r="J19" s="6">
        <f>MIN(5,ROUNDUP(Tabelle13[[#This Row],[Wasser Normallisiert]]*2,0)/2)</f>
        <v>1.5</v>
      </c>
    </row>
    <row r="20" spans="2:10" ht="15" customHeight="1" x14ac:dyDescent="0.25">
      <c r="B20" s="6">
        <v>18</v>
      </c>
      <c r="C20" s="6" t="s">
        <v>22</v>
      </c>
      <c r="D20" s="8" t="s">
        <v>12</v>
      </c>
      <c r="E20" s="8">
        <v>42</v>
      </c>
      <c r="F20" s="7">
        <f>(Tabelle13[[#This Row],[CO2 /100g]]^(1/3.5))-1.9</f>
        <v>1.009279934060797</v>
      </c>
      <c r="G20" s="7">
        <f>MIN(5,ROUNDUP(Tabelle13[[#This Row],[CO2 Normallisiert]]*2,0)/2)</f>
        <v>1.5</v>
      </c>
      <c r="H20" s="8">
        <v>63</v>
      </c>
      <c r="I20" s="8">
        <f>MAX(0,(Tabelle13[[#This Row],[Wasser / 100g]]^(1/3.5))-2.3)</f>
        <v>0.96661009489446048</v>
      </c>
      <c r="J20" s="8">
        <f>MIN(5,ROUNDUP(Tabelle13[[#This Row],[Wasser Normallisiert]]*2,0)/2)</f>
        <v>1</v>
      </c>
    </row>
    <row r="21" spans="2:10" ht="15" customHeight="1" x14ac:dyDescent="0.25">
      <c r="B21" s="5">
        <v>19</v>
      </c>
      <c r="C21" s="5" t="s">
        <v>23</v>
      </c>
      <c r="D21" s="6" t="s">
        <v>1</v>
      </c>
      <c r="E21" s="6">
        <v>550</v>
      </c>
      <c r="F21" s="7">
        <f>(Tabelle13[[#This Row],[CO2 /100g]]^(1/3.5))-1.9</f>
        <v>4.1668152312295224</v>
      </c>
      <c r="G21" s="7">
        <f>MIN(5,ROUNDUP(Tabelle13[[#This Row],[CO2 Normallisiert]]*2,0)/2)</f>
        <v>4.5</v>
      </c>
      <c r="H21" s="6">
        <v>317</v>
      </c>
      <c r="I21" s="6">
        <f>MAX(0,(Tabelle13[[#This Row],[Wasser / 100g]]^(1/3.5))-2.3)</f>
        <v>2.8830853523487816</v>
      </c>
      <c r="J21" s="6">
        <f>MIN(5,ROUNDUP(Tabelle13[[#This Row],[Wasser Normallisiert]]*2,0)/2)</f>
        <v>3</v>
      </c>
    </row>
    <row r="22" spans="2:10" ht="15" customHeight="1" x14ac:dyDescent="0.25">
      <c r="B22" s="6">
        <v>20</v>
      </c>
      <c r="C22" s="6" t="s">
        <v>24</v>
      </c>
      <c r="D22" s="6" t="s">
        <v>1</v>
      </c>
      <c r="E22" s="6">
        <v>420</v>
      </c>
      <c r="F22" s="7">
        <f>(Tabelle13[[#This Row],[CO2 /100g]]^(1/3.5))-1.9</f>
        <v>3.7169401613767916</v>
      </c>
      <c r="G22" s="7">
        <f>MIN(5,ROUNDUP(Tabelle13[[#This Row],[CO2 Normallisiert]]*2,0)/2)</f>
        <v>4</v>
      </c>
      <c r="H22" s="6">
        <v>190</v>
      </c>
      <c r="I22" s="6">
        <f>MAX(0,(Tabelle13[[#This Row],[Wasser / 100g]]^(1/3.5))-2.3)</f>
        <v>2.1778800661070843</v>
      </c>
      <c r="J22" s="6">
        <f>MIN(5,ROUNDUP(Tabelle13[[#This Row],[Wasser Normallisiert]]*2,0)/2)</f>
        <v>2.5</v>
      </c>
    </row>
    <row r="23" spans="2:10" ht="15" customHeight="1" x14ac:dyDescent="0.25">
      <c r="B23" s="6">
        <v>21</v>
      </c>
      <c r="C23" s="6" t="s">
        <v>25</v>
      </c>
      <c r="D23" s="6" t="s">
        <v>1</v>
      </c>
      <c r="E23" s="6">
        <v>170</v>
      </c>
      <c r="F23" s="7">
        <f>(Tabelle13[[#This Row],[CO2 /100g]]^(1/3.5))-1.9</f>
        <v>2.4378159408716606</v>
      </c>
      <c r="G23" s="7">
        <f>MIN(5,ROUNDUP(Tabelle13[[#This Row],[CO2 Normallisiert]]*2,0)/2)</f>
        <v>2.5</v>
      </c>
      <c r="H23" s="6">
        <v>120</v>
      </c>
      <c r="I23" s="6">
        <f>MAX(0,(Tabelle13[[#This Row],[Wasser / 100g]]^(1/3.5))-2.3)</f>
        <v>1.6269175655016967</v>
      </c>
      <c r="J23" s="6">
        <f>MIN(5,ROUNDUP(Tabelle13[[#This Row],[Wasser Normallisiert]]*2,0)/2)</f>
        <v>2</v>
      </c>
    </row>
    <row r="24" spans="2:10" ht="15" customHeight="1" x14ac:dyDescent="0.25">
      <c r="B24" s="6">
        <v>22</v>
      </c>
      <c r="C24" s="6" t="s">
        <v>26</v>
      </c>
      <c r="D24" s="6" t="s">
        <v>1</v>
      </c>
      <c r="E24" s="6">
        <v>330</v>
      </c>
      <c r="F24" s="7">
        <f>(Tabelle13[[#This Row],[CO2 /100g]]^(1/3.5))-1.9</f>
        <v>3.3429463222822</v>
      </c>
      <c r="G24" s="7">
        <f>MIN(5,ROUNDUP(Tabelle13[[#This Row],[CO2 Normallisiert]]*2,0)/2)</f>
        <v>3.5</v>
      </c>
      <c r="H24" s="6">
        <v>100</v>
      </c>
      <c r="I24" s="6">
        <f>MAX(0,(Tabelle13[[#This Row],[Wasser / 100g]]^(1/3.5))-2.3)</f>
        <v>1.4275937203149405</v>
      </c>
      <c r="J24" s="6">
        <f>MIN(5,ROUNDUP(Tabelle13[[#This Row],[Wasser Normallisiert]]*2,0)/2)</f>
        <v>1.5</v>
      </c>
    </row>
    <row r="25" spans="2:10" ht="15" customHeight="1" x14ac:dyDescent="0.25">
      <c r="B25" s="6">
        <v>23</v>
      </c>
      <c r="C25" s="6" t="s">
        <v>27</v>
      </c>
      <c r="D25" s="6" t="s">
        <v>1</v>
      </c>
      <c r="E25" s="6">
        <v>900</v>
      </c>
      <c r="F25" s="7">
        <f>(Tabelle13[[#This Row],[CO2 /100g]]^(1/3.5))-1.9</f>
        <v>5.0834381068135031</v>
      </c>
      <c r="G25" s="7">
        <f>MIN(5,ROUNDUP(Tabelle13[[#This Row],[CO2 Normallisiert]]*2,0)/2)</f>
        <v>5</v>
      </c>
      <c r="H25" s="6">
        <v>559</v>
      </c>
      <c r="I25" s="6">
        <f>MAX(0,(Tabelle13[[#This Row],[Wasser / 100g]]^(1/3.5))-2.3)</f>
        <v>3.7950153296213047</v>
      </c>
      <c r="J25" s="6">
        <f>MIN(5,ROUNDUP(Tabelle13[[#This Row],[Wasser Normallisiert]]*2,0)/2)</f>
        <v>4</v>
      </c>
    </row>
    <row r="26" spans="2:10" ht="15" customHeight="1" x14ac:dyDescent="0.25">
      <c r="B26" s="6">
        <v>24</v>
      </c>
      <c r="C26" s="6" t="s">
        <v>28</v>
      </c>
      <c r="D26" s="6" t="s">
        <v>1</v>
      </c>
      <c r="E26" s="6">
        <v>570</v>
      </c>
      <c r="F26" s="7">
        <f>(Tabelle13[[#This Row],[CO2 /100g]]^(1/3.5))-1.9</f>
        <v>4.2290450834542685</v>
      </c>
      <c r="G26" s="7">
        <f>MIN(5,ROUNDUP(Tabelle13[[#This Row],[CO2 Normallisiert]]*2,0)/2)</f>
        <v>4.5</v>
      </c>
      <c r="H26" s="6">
        <v>506</v>
      </c>
      <c r="I26" s="6">
        <f>MAX(0,(Tabelle13[[#This Row],[Wasser / 100g]]^(1/3.5))-2.3)</f>
        <v>3.623991591087746</v>
      </c>
      <c r="J26" s="6">
        <f>MIN(5,ROUNDUP(Tabelle13[[#This Row],[Wasser Normallisiert]]*2,0)/2)</f>
        <v>4</v>
      </c>
    </row>
    <row r="27" spans="2:10" ht="15" customHeight="1" x14ac:dyDescent="0.25">
      <c r="B27" s="6">
        <v>25</v>
      </c>
      <c r="C27" s="6" t="s">
        <v>29</v>
      </c>
      <c r="D27" s="6" t="s">
        <v>12</v>
      </c>
      <c r="E27" s="6">
        <v>630</v>
      </c>
      <c r="F27" s="7">
        <f>(Tabelle13[[#This Row],[CO2 /100g]]^(1/3.5))-1.9</f>
        <v>4.4068366913598336</v>
      </c>
      <c r="G27" s="7">
        <f>MIN(5,ROUNDUP(Tabelle13[[#This Row],[CO2 Normallisiert]]*2,0)/2)</f>
        <v>4.5</v>
      </c>
      <c r="H27" s="6">
        <v>506</v>
      </c>
      <c r="I27" s="6">
        <f>MAX(0,(Tabelle13[[#This Row],[Wasser / 100g]]^(1/3.5))-2.3)</f>
        <v>3.623991591087746</v>
      </c>
      <c r="J27" s="6">
        <f>MIN(5,ROUNDUP(Tabelle13[[#This Row],[Wasser Normallisiert]]*2,0)/2)</f>
        <v>4</v>
      </c>
    </row>
    <row r="28" spans="2:10" ht="15" customHeight="1" x14ac:dyDescent="0.25">
      <c r="B28" s="6">
        <v>26</v>
      </c>
      <c r="C28" s="6" t="s">
        <v>30</v>
      </c>
      <c r="D28" s="6" t="s">
        <v>12</v>
      </c>
      <c r="E28" s="6">
        <v>570</v>
      </c>
      <c r="F28" s="7">
        <f>(Tabelle13[[#This Row],[CO2 /100g]]^(1/3.5))-1.9</f>
        <v>4.2290450834542685</v>
      </c>
      <c r="G28" s="7">
        <f>MIN(5,ROUNDUP(Tabelle13[[#This Row],[CO2 Normallisiert]]*2,0)/2)</f>
        <v>4.5</v>
      </c>
      <c r="H28" s="6">
        <v>506</v>
      </c>
      <c r="I28" s="6">
        <f>MAX(0,(Tabelle13[[#This Row],[Wasser / 100g]]^(1/3.5))-2.3)</f>
        <v>3.623991591087746</v>
      </c>
      <c r="J28" s="6">
        <f>MIN(5,ROUNDUP(Tabelle13[[#This Row],[Wasser Normallisiert]]*2,0)/2)</f>
        <v>4</v>
      </c>
    </row>
    <row r="29" spans="2:10" ht="15" customHeight="1" x14ac:dyDescent="0.25">
      <c r="B29" s="6">
        <v>27</v>
      </c>
      <c r="C29" s="6" t="s">
        <v>31</v>
      </c>
      <c r="D29" s="6" t="s">
        <v>1</v>
      </c>
      <c r="E29" s="6">
        <v>690</v>
      </c>
      <c r="F29" s="7">
        <f>(Tabelle13[[#This Row],[CO2 /100g]]^(1/3.5))-1.9</f>
        <v>4.5729125579793397</v>
      </c>
      <c r="G29" s="7">
        <f>MIN(5,ROUNDUP(Tabelle13[[#This Row],[CO2 Normallisiert]]*2,0)/2)</f>
        <v>5</v>
      </c>
      <c r="H29" s="6">
        <v>506</v>
      </c>
      <c r="I29" s="6">
        <f>MAX(0,(Tabelle13[[#This Row],[Wasser / 100g]]^(1/3.5))-2.3)</f>
        <v>3.623991591087746</v>
      </c>
      <c r="J29" s="6">
        <f>MIN(5,ROUNDUP(Tabelle13[[#This Row],[Wasser Normallisiert]]*2,0)/2)</f>
        <v>4</v>
      </c>
    </row>
    <row r="30" spans="2:10" ht="15" customHeight="1" x14ac:dyDescent="0.25">
      <c r="B30" s="6">
        <v>28</v>
      </c>
      <c r="C30" s="6" t="s">
        <v>32</v>
      </c>
      <c r="D30" s="6" t="s">
        <v>15</v>
      </c>
      <c r="E30" s="6">
        <v>570</v>
      </c>
      <c r="F30" s="7">
        <f>(Tabelle13[[#This Row],[CO2 /100g]]^(1/3.5))-1.9</f>
        <v>4.2290450834542685</v>
      </c>
      <c r="G30" s="7">
        <f>MIN(5,ROUNDUP(Tabelle13[[#This Row],[CO2 Normallisiert]]*2,0)/2)</f>
        <v>4.5</v>
      </c>
      <c r="H30" s="6">
        <v>506</v>
      </c>
      <c r="I30" s="6">
        <f>MAX(0,(Tabelle13[[#This Row],[Wasser / 100g]]^(1/3.5))-2.3)</f>
        <v>3.623991591087746</v>
      </c>
      <c r="J30" s="6">
        <f>MIN(5,ROUNDUP(Tabelle13[[#This Row],[Wasser Normallisiert]]*2,0)/2)</f>
        <v>4</v>
      </c>
    </row>
    <row r="31" spans="2:10" ht="15" customHeight="1" x14ac:dyDescent="0.25">
      <c r="B31" s="5">
        <v>29</v>
      </c>
      <c r="C31" s="5" t="s">
        <v>33</v>
      </c>
      <c r="D31" s="6" t="s">
        <v>1</v>
      </c>
      <c r="E31" s="6">
        <v>300</v>
      </c>
      <c r="F31" s="7">
        <f>(Tabelle13[[#This Row],[CO2 /100g]]^(1/3.5))-1.9</f>
        <v>3.2020995710752316</v>
      </c>
      <c r="G31" s="7">
        <f>MIN(5,ROUNDUP(Tabelle13[[#This Row],[CO2 Normallisiert]]*2,0)/2)</f>
        <v>3.5</v>
      </c>
      <c r="H31" s="6">
        <v>164</v>
      </c>
      <c r="I31" s="6">
        <f>MAX(0,(Tabelle13[[#This Row],[Wasser / 100g]]^(1/3.5))-2.3)</f>
        <v>1.9935104870310516</v>
      </c>
      <c r="J31" s="6">
        <f>MIN(5,ROUNDUP(Tabelle13[[#This Row],[Wasser Normallisiert]]*2,0)/2)</f>
        <v>2</v>
      </c>
    </row>
    <row r="32" spans="2:10" ht="15" customHeight="1" x14ac:dyDescent="0.25">
      <c r="B32" s="5">
        <v>30</v>
      </c>
      <c r="C32" s="5" t="s">
        <v>34</v>
      </c>
      <c r="D32" s="6" t="s">
        <v>1</v>
      </c>
      <c r="E32" s="6">
        <v>200</v>
      </c>
      <c r="F32" s="7">
        <f>(Tabelle13[[#This Row],[CO2 /100g]]^(1/3.5))-1.9</f>
        <v>2.6439876423907696</v>
      </c>
      <c r="G32" s="7">
        <f>MIN(5,ROUNDUP(Tabelle13[[#This Row],[CO2 Normallisiert]]*2,0)/2)</f>
        <v>3</v>
      </c>
      <c r="H32" s="6">
        <v>20</v>
      </c>
      <c r="I32" s="6">
        <f>MAX(0,(Tabelle13[[#This Row],[Wasser / 100g]]^(1/3.5))-2.3)</f>
        <v>5.3546893650252336E-2</v>
      </c>
      <c r="J32" s="6">
        <f>MIN(5,ROUNDUP(Tabelle13[[#This Row],[Wasser Normallisiert]]*2,0)/2)</f>
        <v>0.5</v>
      </c>
    </row>
    <row r="33" spans="2:10" ht="15" customHeight="1" x14ac:dyDescent="0.25">
      <c r="B33" s="5">
        <v>31</v>
      </c>
      <c r="C33" s="5" t="s">
        <v>35</v>
      </c>
      <c r="D33" s="6" t="s">
        <v>1</v>
      </c>
      <c r="E33" s="6">
        <v>30</v>
      </c>
      <c r="F33" s="7">
        <f>(Tabelle13[[#This Row],[CO2 /100g]]^(1/3.5))-1.9</f>
        <v>0.74261955393005863</v>
      </c>
      <c r="G33" s="7">
        <f>MIN(5,ROUNDUP(Tabelle13[[#This Row],[CO2 Normallisiert]]*2,0)/2)</f>
        <v>1</v>
      </c>
      <c r="H33" s="6">
        <v>184</v>
      </c>
      <c r="I33" s="6">
        <f>MAX(0,(Tabelle13[[#This Row],[Wasser / 100g]]^(1/3.5))-2.3)</f>
        <v>2.1370140770010142</v>
      </c>
      <c r="J33" s="6">
        <f>MIN(5,ROUNDUP(Tabelle13[[#This Row],[Wasser Normallisiert]]*2,0)/2)</f>
        <v>2.5</v>
      </c>
    </row>
    <row r="34" spans="2:10" ht="15" customHeight="1" x14ac:dyDescent="0.25">
      <c r="B34" s="6">
        <v>32</v>
      </c>
      <c r="C34" s="6" t="s">
        <v>36</v>
      </c>
      <c r="D34" s="6" t="s">
        <v>12</v>
      </c>
      <c r="E34" s="6">
        <v>310</v>
      </c>
      <c r="F34" s="7">
        <f>(Tabelle13[[#This Row],[CO2 /100g]]^(1/3.5))-1.9</f>
        <v>3.2501233014729745</v>
      </c>
      <c r="G34" s="7">
        <f>MIN(5,ROUNDUP(Tabelle13[[#This Row],[CO2 Normallisiert]]*2,0)/2)</f>
        <v>3.5</v>
      </c>
      <c r="H34" s="6">
        <v>250</v>
      </c>
      <c r="I34" s="6">
        <f>MAX(0,(Tabelle13[[#This Row],[Wasser / 100g]]^(1/3.5))-2.3)</f>
        <v>2.5431254296349852</v>
      </c>
      <c r="J34" s="6">
        <f>MIN(5,ROUNDUP(Tabelle13[[#This Row],[Wasser Normallisiert]]*2,0)/2)</f>
        <v>3</v>
      </c>
    </row>
    <row r="35" spans="2:10" ht="15" customHeight="1" x14ac:dyDescent="0.25">
      <c r="B35" s="5">
        <v>33</v>
      </c>
      <c r="C35" s="5" t="s">
        <v>37</v>
      </c>
      <c r="D35" s="6" t="s">
        <v>1</v>
      </c>
      <c r="E35" s="6">
        <v>70</v>
      </c>
      <c r="F35" s="7">
        <f>(Tabelle13[[#This Row],[CO2 /100g]]^(1/3.5))-1.9</f>
        <v>1.4664399234565457</v>
      </c>
      <c r="G35" s="7">
        <f>MIN(5,ROUNDUP(Tabelle13[[#This Row],[CO2 Normallisiert]]*2,0)/2)</f>
        <v>1.5</v>
      </c>
      <c r="H35" s="6">
        <v>185</v>
      </c>
      <c r="I35" s="6">
        <f>MAX(0,(Tabelle13[[#This Row],[Wasser / 100g]]^(1/3.5))-2.3)</f>
        <v>2.1438905187836399</v>
      </c>
      <c r="J35" s="6">
        <f>MIN(5,ROUNDUP(Tabelle13[[#This Row],[Wasser Normallisiert]]*2,0)/2)</f>
        <v>2.5</v>
      </c>
    </row>
    <row r="36" spans="2:10" ht="15" customHeight="1" x14ac:dyDescent="0.25">
      <c r="B36" s="5">
        <v>34</v>
      </c>
      <c r="C36" s="5" t="s">
        <v>38</v>
      </c>
      <c r="D36" s="6" t="s">
        <v>1</v>
      </c>
      <c r="E36" s="6">
        <v>60</v>
      </c>
      <c r="F36" s="7">
        <f>(Tabelle13[[#This Row],[CO2 /100g]]^(1/3.5))-1.9</f>
        <v>1.3213893191084813</v>
      </c>
      <c r="G36" s="7">
        <f>MIN(5,ROUNDUP(Tabelle13[[#This Row],[CO2 Normallisiert]]*2,0)/2)</f>
        <v>1.5</v>
      </c>
      <c r="H36" s="6">
        <v>160</v>
      </c>
      <c r="I36" s="6">
        <f>MAX(0,(Tabelle13[[#This Row],[Wasser / 100g]]^(1/3.5))-2.3)</f>
        <v>1.9633262330676819</v>
      </c>
      <c r="J36" s="6">
        <f>MIN(5,ROUNDUP(Tabelle13[[#This Row],[Wasser Normallisiert]]*2,0)/2)</f>
        <v>2</v>
      </c>
    </row>
    <row r="37" spans="2:10" ht="15" customHeight="1" x14ac:dyDescent="0.25">
      <c r="B37" s="6">
        <v>35</v>
      </c>
      <c r="C37" s="6" t="s">
        <v>39</v>
      </c>
      <c r="D37" s="6" t="s">
        <v>12</v>
      </c>
      <c r="E37" s="6">
        <v>410</v>
      </c>
      <c r="F37" s="7">
        <f>(Tabelle13[[#This Row],[CO2 /100g]]^(1/3.5))-1.9</f>
        <v>3.6784002716872597</v>
      </c>
      <c r="G37" s="7">
        <f>MIN(5,ROUNDUP(Tabelle13[[#This Row],[CO2 Normallisiert]]*2,0)/2)</f>
        <v>4</v>
      </c>
      <c r="H37" s="9">
        <v>1728</v>
      </c>
      <c r="I37" s="6">
        <f>MAX(0,(Tabelle13[[#This Row],[Wasser / 100g]]^(1/3.5))-2.3)</f>
        <v>6.1141935272903281</v>
      </c>
      <c r="J37" s="9">
        <f>MIN(5,ROUNDUP(Tabelle13[[#This Row],[Wasser Normallisiert]]*2,0)/2)</f>
        <v>5</v>
      </c>
    </row>
    <row r="38" spans="2:10" ht="15" customHeight="1" x14ac:dyDescent="0.25">
      <c r="B38" s="5">
        <v>36</v>
      </c>
      <c r="C38" s="5" t="s">
        <v>40</v>
      </c>
      <c r="D38" s="6" t="s">
        <v>1</v>
      </c>
      <c r="E38" s="6">
        <v>70</v>
      </c>
      <c r="F38" s="7">
        <f>(Tabelle13[[#This Row],[CO2 /100g]]^(1/3.5))-1.9</f>
        <v>1.4664399234565457</v>
      </c>
      <c r="G38" s="7">
        <f>MIN(5,ROUNDUP(Tabelle13[[#This Row],[CO2 Normallisiert]]*2,0)/2)</f>
        <v>1.5</v>
      </c>
      <c r="H38" s="6">
        <v>92</v>
      </c>
      <c r="I38" s="6">
        <f>MAX(0,(Tabelle13[[#This Row],[Wasser / 100g]]^(1/3.5))-2.3)</f>
        <v>1.3398395224675284</v>
      </c>
      <c r="J38" s="6">
        <f>MIN(5,ROUNDUP(Tabelle13[[#This Row],[Wasser Normallisiert]]*2,0)/2)</f>
        <v>1.5</v>
      </c>
    </row>
    <row r="39" spans="2:10" ht="15" customHeight="1" x14ac:dyDescent="0.25">
      <c r="B39" s="5">
        <v>37</v>
      </c>
      <c r="C39" s="5" t="s">
        <v>41</v>
      </c>
      <c r="D39" s="6" t="s">
        <v>1</v>
      </c>
      <c r="E39" s="6">
        <v>40</v>
      </c>
      <c r="F39" s="7">
        <f>(Tabelle13[[#This Row],[CO2 /100g]]^(1/3.5))-1.9</f>
        <v>0.96900579917018614</v>
      </c>
      <c r="G39" s="7">
        <f>MIN(5,ROUNDUP(Tabelle13[[#This Row],[CO2 Normallisiert]]*2,0)/2)</f>
        <v>1</v>
      </c>
      <c r="H39" s="6">
        <v>118</v>
      </c>
      <c r="I39" s="6">
        <f>MAX(0,(Tabelle13[[#This Row],[Wasser / 100g]]^(1/3.5))-2.3)</f>
        <v>1.6081055786519736</v>
      </c>
      <c r="J39" s="6">
        <f>MIN(5,ROUNDUP(Tabelle13[[#This Row],[Wasser Normallisiert]]*2,0)/2)</f>
        <v>2</v>
      </c>
    </row>
    <row r="40" spans="2:10" ht="15" customHeight="1" x14ac:dyDescent="0.25">
      <c r="B40" s="6">
        <v>38</v>
      </c>
      <c r="C40" s="6" t="s">
        <v>42</v>
      </c>
      <c r="D40" s="6" t="s">
        <v>12</v>
      </c>
      <c r="E40" s="6">
        <v>90</v>
      </c>
      <c r="F40" s="7">
        <f>(Tabelle13[[#This Row],[CO2 /100g]]^(1/3.5))-1.9</f>
        <v>1.7170540848218878</v>
      </c>
      <c r="G40" s="7">
        <f>MIN(5,ROUNDUP(Tabelle13[[#This Row],[CO2 Normallisiert]]*2,0)/2)</f>
        <v>2</v>
      </c>
      <c r="H40" s="6">
        <v>27</v>
      </c>
      <c r="I40" s="6">
        <f>MAX(0,(Tabelle13[[#This Row],[Wasser / 100g]]^(1/3.5))-2.3)</f>
        <v>0.26425419972145647</v>
      </c>
      <c r="J40" s="6">
        <f>MIN(5,ROUNDUP(Tabelle13[[#This Row],[Wasser Normallisiert]]*2,0)/2)</f>
        <v>0.5</v>
      </c>
    </row>
    <row r="41" spans="2:10" ht="15" customHeight="1" x14ac:dyDescent="0.25">
      <c r="B41" s="5">
        <v>39</v>
      </c>
      <c r="C41" s="5" t="s">
        <v>43</v>
      </c>
      <c r="D41" s="6" t="s">
        <v>1</v>
      </c>
      <c r="E41" s="6">
        <v>30</v>
      </c>
      <c r="F41" s="7">
        <f>(Tabelle13[[#This Row],[CO2 /100g]]^(1/3.5))-1.9</f>
        <v>0.74261955393005863</v>
      </c>
      <c r="G41" s="7">
        <f>MIN(5,ROUNDUP(Tabelle13[[#This Row],[CO2 Normallisiert]]*2,0)/2)</f>
        <v>1</v>
      </c>
      <c r="H41" s="6">
        <v>83</v>
      </c>
      <c r="I41" s="6">
        <f>MAX(0,(Tabelle13[[#This Row],[Wasser / 100g]]^(1/3.5))-2.3)</f>
        <v>1.2343375627535766</v>
      </c>
      <c r="J41" s="6">
        <f>MIN(5,ROUNDUP(Tabelle13[[#This Row],[Wasser Normallisiert]]*2,0)/2)</f>
        <v>1.5</v>
      </c>
    </row>
    <row r="42" spans="2:10" ht="15" customHeight="1" x14ac:dyDescent="0.25">
      <c r="B42" s="6">
        <v>40</v>
      </c>
      <c r="C42" s="6" t="s">
        <v>44</v>
      </c>
      <c r="D42" s="6" t="s">
        <v>1</v>
      </c>
      <c r="E42" s="6">
        <v>30</v>
      </c>
      <c r="F42" s="7">
        <f>(Tabelle13[[#This Row],[CO2 /100g]]^(1/3.5))-1.9</f>
        <v>0.74261955393005863</v>
      </c>
      <c r="G42" s="7">
        <f>MIN(5,ROUNDUP(Tabelle13[[#This Row],[CO2 Normallisiert]]*2,0)/2)</f>
        <v>1</v>
      </c>
      <c r="H42" s="6">
        <v>130</v>
      </c>
      <c r="I42" s="6">
        <f>MAX(0,(Tabelle13[[#This Row],[Wasser / 100g]]^(1/3.5))-2.3)</f>
        <v>1.7177583740224547</v>
      </c>
      <c r="J42" s="6">
        <f>MIN(5,ROUNDUP(Tabelle13[[#This Row],[Wasser Normallisiert]]*2,0)/2)</f>
        <v>2</v>
      </c>
    </row>
    <row r="43" spans="2:10" ht="15" customHeight="1" x14ac:dyDescent="0.25">
      <c r="B43" s="6">
        <v>41</v>
      </c>
      <c r="C43" s="6" t="s">
        <v>45</v>
      </c>
      <c r="D43" s="6" t="s">
        <v>12</v>
      </c>
      <c r="E43" s="6">
        <v>60</v>
      </c>
      <c r="F43" s="7">
        <f>(Tabelle13[[#This Row],[CO2 /100g]]^(1/3.5))-1.9</f>
        <v>1.3213893191084813</v>
      </c>
      <c r="G43" s="7">
        <f>MIN(5,ROUNDUP(Tabelle13[[#This Row],[CO2 Normallisiert]]*2,0)/2)</f>
        <v>1.5</v>
      </c>
      <c r="H43" s="6">
        <v>116</v>
      </c>
      <c r="I43" s="6">
        <f>MAX(0,(Tabelle13[[#This Row],[Wasser / 100g]]^(1/3.5))-2.3)</f>
        <v>1.5890644445959654</v>
      </c>
      <c r="J43" s="6">
        <f>MIN(5,ROUNDUP(Tabelle13[[#This Row],[Wasser Normallisiert]]*2,0)/2)</f>
        <v>2</v>
      </c>
    </row>
    <row r="44" spans="2:10" ht="15" customHeight="1" x14ac:dyDescent="0.25">
      <c r="B44" s="6">
        <v>42</v>
      </c>
      <c r="C44" s="6" t="s">
        <v>46</v>
      </c>
      <c r="D44" s="6" t="s">
        <v>12</v>
      </c>
      <c r="E44" s="6">
        <v>60</v>
      </c>
      <c r="F44" s="7">
        <f>(Tabelle13[[#This Row],[CO2 /100g]]^(1/3.5))-1.9</f>
        <v>1.3213893191084813</v>
      </c>
      <c r="G44" s="7">
        <f>MIN(5,ROUNDUP(Tabelle13[[#This Row],[CO2 Normallisiert]]*2,0)/2)</f>
        <v>1.5</v>
      </c>
      <c r="H44" s="6">
        <v>79</v>
      </c>
      <c r="I44" s="6">
        <f>MAX(0,(Tabelle13[[#This Row],[Wasser / 100g]]^(1/3.5))-2.3)</f>
        <v>1.1848105184558015</v>
      </c>
      <c r="J44" s="6">
        <f>MIN(5,ROUNDUP(Tabelle13[[#This Row],[Wasser Normallisiert]]*2,0)/2)</f>
        <v>1.5</v>
      </c>
    </row>
    <row r="45" spans="2:10" ht="15" customHeight="1" x14ac:dyDescent="0.25">
      <c r="B45" s="6">
        <v>43</v>
      </c>
      <c r="C45" s="6" t="s">
        <v>47</v>
      </c>
      <c r="D45" s="6" t="s">
        <v>1</v>
      </c>
      <c r="E45" s="6">
        <v>30</v>
      </c>
      <c r="F45" s="7">
        <f>(Tabelle13[[#This Row],[CO2 /100g]]^(1/3.5))-1.9</f>
        <v>0.74261955393005863</v>
      </c>
      <c r="G45" s="7">
        <f>MIN(5,ROUNDUP(Tabelle13[[#This Row],[CO2 Normallisiert]]*2,0)/2)</f>
        <v>1</v>
      </c>
      <c r="H45" s="6">
        <v>93</v>
      </c>
      <c r="I45" s="6">
        <f>MAX(0,(Tabelle13[[#This Row],[Wasser / 100g]]^(1/3.5))-2.3)</f>
        <v>1.3510997610741331</v>
      </c>
      <c r="J45" s="6">
        <f>MIN(5,ROUNDUP(Tabelle13[[#This Row],[Wasser Normallisiert]]*2,0)/2)</f>
        <v>1.5</v>
      </c>
    </row>
    <row r="46" spans="2:10" ht="15" customHeight="1" x14ac:dyDescent="0.25">
      <c r="B46" s="6">
        <v>44</v>
      </c>
      <c r="C46" s="6" t="s">
        <v>48</v>
      </c>
      <c r="D46" s="6" t="s">
        <v>1</v>
      </c>
      <c r="E46" s="6">
        <v>30</v>
      </c>
      <c r="F46" s="7">
        <f>(Tabelle13[[#This Row],[CO2 /100g]]^(1/3.5))-1.9</f>
        <v>0.74261955393005863</v>
      </c>
      <c r="G46" s="7">
        <f>MIN(5,ROUNDUP(Tabelle13[[#This Row],[CO2 Normallisiert]]*2,0)/2)</f>
        <v>1</v>
      </c>
      <c r="H46" s="6">
        <v>83</v>
      </c>
      <c r="I46" s="6">
        <f>MAX(0,(Tabelle13[[#This Row],[Wasser / 100g]]^(1/3.5))-2.3)</f>
        <v>1.2343375627535766</v>
      </c>
      <c r="J46" s="6">
        <f>MIN(5,ROUNDUP(Tabelle13[[#This Row],[Wasser Normallisiert]]*2,0)/2)</f>
        <v>1.5</v>
      </c>
    </row>
    <row r="47" spans="2:10" ht="15" customHeight="1" x14ac:dyDescent="0.25">
      <c r="B47" s="6">
        <v>45</v>
      </c>
      <c r="C47" s="6" t="s">
        <v>49</v>
      </c>
      <c r="D47" s="6" t="s">
        <v>12</v>
      </c>
      <c r="E47" s="6">
        <v>394</v>
      </c>
      <c r="F47" s="7">
        <f>(Tabelle13[[#This Row],[CO2 /100g]]^(1/3.5))-1.9</f>
        <v>3.6153153485671683</v>
      </c>
      <c r="G47" s="7">
        <f>MIN(5,ROUNDUP(Tabelle13[[#This Row],[CO2 Normallisiert]]*2,0)/2)</f>
        <v>4</v>
      </c>
      <c r="H47" s="6">
        <v>227</v>
      </c>
      <c r="I47" s="6">
        <f>MAX(0,(Tabelle13[[#This Row],[Wasser / 100g]]^(1/3.5))-2.3)</f>
        <v>2.4114028998865873</v>
      </c>
      <c r="J47" s="6">
        <f>MIN(5,ROUNDUP(Tabelle13[[#This Row],[Wasser Normallisiert]]*2,0)/2)</f>
        <v>2.5</v>
      </c>
    </row>
    <row r="48" spans="2:10" ht="15" customHeight="1" x14ac:dyDescent="0.25">
      <c r="B48" s="5">
        <v>46</v>
      </c>
      <c r="C48" s="5" t="s">
        <v>50</v>
      </c>
      <c r="D48" s="6" t="s">
        <v>1</v>
      </c>
      <c r="E48" s="6">
        <v>30</v>
      </c>
      <c r="F48" s="7">
        <f>(Tabelle13[[#This Row],[CO2 /100g]]^(1/3.5))-1.9</f>
        <v>0.74261955393005863</v>
      </c>
      <c r="G48" s="7">
        <f>MIN(5,ROUNDUP(Tabelle13[[#This Row],[CO2 Normallisiert]]*2,0)/2)</f>
        <v>1</v>
      </c>
      <c r="H48" s="6">
        <v>32</v>
      </c>
      <c r="I48" s="6">
        <f>MAX(0,(Tabelle13[[#This Row],[Wasser / 100g]]^(1/3.5))-2.3)</f>
        <v>0.39180038526471206</v>
      </c>
      <c r="J48" s="6">
        <f>MIN(5,ROUNDUP(Tabelle13[[#This Row],[Wasser Normallisiert]]*2,0)/2)</f>
        <v>0.5</v>
      </c>
    </row>
    <row r="49" spans="2:10" ht="15" customHeight="1" x14ac:dyDescent="0.25">
      <c r="B49" s="6">
        <v>47</v>
      </c>
      <c r="C49" s="6" t="s">
        <v>51</v>
      </c>
      <c r="D49" s="6" t="s">
        <v>15</v>
      </c>
      <c r="E49" s="6">
        <v>90</v>
      </c>
      <c r="F49" s="7">
        <f>(Tabelle13[[#This Row],[CO2 /100g]]^(1/3.5))-1.9</f>
        <v>1.7170540848218878</v>
      </c>
      <c r="G49" s="7">
        <f>MIN(5,ROUNDUP(Tabelle13[[#This Row],[CO2 Normallisiert]]*2,0)/2)</f>
        <v>2</v>
      </c>
      <c r="H49" s="6">
        <v>327</v>
      </c>
      <c r="I49" s="6">
        <f>MAX(0,(Tabelle13[[#This Row],[Wasser / 100g]]^(1/3.5))-2.3)</f>
        <v>2.9292838343514562</v>
      </c>
      <c r="J49" s="6">
        <f>MIN(5,ROUNDUP(Tabelle13[[#This Row],[Wasser Normallisiert]]*2,0)/2)</f>
        <v>3</v>
      </c>
    </row>
    <row r="50" spans="2:10" ht="15" customHeight="1" x14ac:dyDescent="0.25">
      <c r="B50" s="10">
        <v>48</v>
      </c>
      <c r="C50" s="10" t="s">
        <v>52</v>
      </c>
      <c r="D50" s="6" t="s">
        <v>1</v>
      </c>
      <c r="E50" s="6">
        <v>120</v>
      </c>
      <c r="F50" s="7">
        <f>(Tabelle13[[#This Row],[CO2 /100g]]^(1/3.5))-1.9</f>
        <v>2.0269175655016967</v>
      </c>
      <c r="G50" s="7">
        <f>MIN(5,ROUNDUP(Tabelle13[[#This Row],[CO2 Normallisiert]]*2,0)/2)</f>
        <v>2.5</v>
      </c>
      <c r="H50" s="6">
        <v>40</v>
      </c>
      <c r="I50" s="6">
        <f>MAX(0,(Tabelle13[[#This Row],[Wasser / 100g]]^(1/3.5))-2.3)</f>
        <v>0.56900579917018623</v>
      </c>
      <c r="J50" s="6">
        <f>MIN(5,ROUNDUP(Tabelle13[[#This Row],[Wasser Normallisiert]]*2,0)/2)</f>
        <v>1</v>
      </c>
    </row>
    <row r="51" spans="2:10" ht="15" customHeight="1" x14ac:dyDescent="0.25">
      <c r="B51" s="6">
        <v>49</v>
      </c>
      <c r="C51" s="6" t="s">
        <v>53</v>
      </c>
      <c r="D51" s="6" t="s">
        <v>15</v>
      </c>
      <c r="E51" s="6">
        <v>20</v>
      </c>
      <c r="F51" s="7">
        <f>(Tabelle13[[#This Row],[CO2 /100g]]^(1/3.5))-1.9</f>
        <v>0.45354689365025225</v>
      </c>
      <c r="G51" s="7">
        <f>MIN(5,ROUNDUP(Tabelle13[[#This Row],[CO2 Normallisiert]]*2,0)/2)</f>
        <v>0.5</v>
      </c>
      <c r="H51" s="6">
        <v>160</v>
      </c>
      <c r="I51" s="6">
        <f>MAX(0,(Tabelle13[[#This Row],[Wasser / 100g]]^(1/3.5))-2.3)</f>
        <v>1.9633262330676819</v>
      </c>
      <c r="J51" s="6">
        <f>MIN(5,ROUNDUP(Tabelle13[[#This Row],[Wasser Normallisiert]]*2,0)/2)</f>
        <v>2</v>
      </c>
    </row>
    <row r="52" spans="2:10" ht="15" customHeight="1" x14ac:dyDescent="0.25">
      <c r="B52" s="6">
        <v>50</v>
      </c>
      <c r="C52" s="6" t="s">
        <v>54</v>
      </c>
      <c r="D52" s="6" t="s">
        <v>12</v>
      </c>
      <c r="E52" s="6">
        <v>70</v>
      </c>
      <c r="F52" s="7">
        <f>(Tabelle13[[#This Row],[CO2 /100g]]^(1/3.5))-1.9</f>
        <v>1.4664399234565457</v>
      </c>
      <c r="G52" s="7">
        <f>MIN(5,ROUNDUP(Tabelle13[[#This Row],[CO2 Normallisiert]]*2,0)/2)</f>
        <v>1.5</v>
      </c>
      <c r="H52" s="6">
        <v>50</v>
      </c>
      <c r="I52" s="6">
        <f>MAX(0,(Tabelle13[[#This Row],[Wasser / 100g]]^(1/3.5))-2.3)</f>
        <v>0.75787692160639208</v>
      </c>
      <c r="J52" s="6">
        <f>MIN(5,ROUNDUP(Tabelle13[[#This Row],[Wasser Normallisiert]]*2,0)/2)</f>
        <v>1</v>
      </c>
    </row>
    <row r="53" spans="2:10" ht="15" customHeight="1" x14ac:dyDescent="0.25">
      <c r="B53" s="6">
        <v>51</v>
      </c>
      <c r="C53" s="6" t="s">
        <v>55</v>
      </c>
      <c r="D53" s="6" t="s">
        <v>12</v>
      </c>
      <c r="E53" s="6">
        <v>30</v>
      </c>
      <c r="F53" s="7">
        <f>(Tabelle13[[#This Row],[CO2 /100g]]^(1/3.5))-1.9</f>
        <v>0.74261955393005863</v>
      </c>
      <c r="G53" s="7">
        <f>MIN(5,ROUNDUP(Tabelle13[[#This Row],[CO2 Normallisiert]]*2,0)/2)</f>
        <v>1</v>
      </c>
      <c r="H53" s="6">
        <v>73</v>
      </c>
      <c r="I53" s="6">
        <f>MAX(0,(Tabelle13[[#This Row],[Wasser / 100g]]^(1/3.5))-2.3)</f>
        <v>1.1070457083971426</v>
      </c>
      <c r="J53" s="6">
        <f>MIN(5,ROUNDUP(Tabelle13[[#This Row],[Wasser Normallisiert]]*2,0)/2)</f>
        <v>1.5</v>
      </c>
    </row>
    <row r="54" spans="2:10" ht="15" customHeight="1" x14ac:dyDescent="0.25">
      <c r="B54" s="6">
        <v>52</v>
      </c>
      <c r="C54" s="6" t="s">
        <v>56</v>
      </c>
      <c r="D54" s="6" t="s">
        <v>12</v>
      </c>
      <c r="E54" s="6">
        <v>170</v>
      </c>
      <c r="F54" s="7">
        <f>(Tabelle13[[#This Row],[CO2 /100g]]^(1/3.5))-1.9</f>
        <v>2.4378159408716606</v>
      </c>
      <c r="G54" s="7">
        <f>MIN(5,ROUNDUP(Tabelle13[[#This Row],[CO2 Normallisiert]]*2,0)/2)</f>
        <v>2.5</v>
      </c>
      <c r="H54" s="6">
        <v>181</v>
      </c>
      <c r="I54" s="6">
        <f>MAX(0,(Tabelle13[[#This Row],[Wasser / 100g]]^(1/3.5))-2.3)</f>
        <v>2.1162232658024926</v>
      </c>
      <c r="J54" s="6">
        <f>MIN(5,ROUNDUP(Tabelle13[[#This Row],[Wasser Normallisiert]]*2,0)/2)</f>
        <v>2.5</v>
      </c>
    </row>
    <row r="55" spans="2:10" ht="15" customHeight="1" x14ac:dyDescent="0.25">
      <c r="B55" s="6">
        <v>53</v>
      </c>
      <c r="C55" s="6" t="s">
        <v>57</v>
      </c>
      <c r="D55" s="6" t="s">
        <v>12</v>
      </c>
      <c r="E55" s="6">
        <v>150</v>
      </c>
      <c r="F55" s="7">
        <f>(Tabelle13[[#This Row],[CO2 /100g]]^(1/3.5))-1.9</f>
        <v>2.2854326680244168</v>
      </c>
      <c r="G55" s="7">
        <f>MIN(5,ROUNDUP(Tabelle13[[#This Row],[CO2 Normallisiert]]*2,0)/2)</f>
        <v>2.5</v>
      </c>
      <c r="H55" s="6">
        <v>301</v>
      </c>
      <c r="I55" s="6">
        <f>MAX(0,(Tabelle13[[#This Row],[Wasser / 100g]]^(1/3.5))-2.3)</f>
        <v>2.8069529398240851</v>
      </c>
      <c r="J55" s="6">
        <f>MIN(5,ROUNDUP(Tabelle13[[#This Row],[Wasser Normallisiert]]*2,0)/2)</f>
        <v>3</v>
      </c>
    </row>
    <row r="56" spans="2:10" ht="15" customHeight="1" x14ac:dyDescent="0.25">
      <c r="B56" s="6">
        <v>54</v>
      </c>
      <c r="C56" s="6" t="s">
        <v>58</v>
      </c>
      <c r="D56" s="6" t="s">
        <v>12</v>
      </c>
      <c r="E56" s="6">
        <v>30</v>
      </c>
      <c r="F56" s="7">
        <f>(Tabelle13[[#This Row],[CO2 /100g]]^(1/3.5))-1.9</f>
        <v>0.74261955393005863</v>
      </c>
      <c r="G56" s="7">
        <f>MIN(5,ROUNDUP(Tabelle13[[#This Row],[CO2 Normallisiert]]*2,0)/2)</f>
        <v>1</v>
      </c>
      <c r="H56" s="6">
        <v>57</v>
      </c>
      <c r="I56" s="6">
        <f>MAX(0,(Tabelle13[[#This Row],[Wasser / 100g]]^(1/3.5))-2.3)</f>
        <v>0.87452338176179323</v>
      </c>
      <c r="J56" s="6">
        <f>MIN(5,ROUNDUP(Tabelle13[[#This Row],[Wasser Normallisiert]]*2,0)/2)</f>
        <v>1</v>
      </c>
    </row>
    <row r="57" spans="2:10" ht="15" customHeight="1" x14ac:dyDescent="0.25">
      <c r="B57" s="6">
        <v>55</v>
      </c>
      <c r="C57" s="6" t="s">
        <v>59</v>
      </c>
      <c r="D57" s="6" t="s">
        <v>12</v>
      </c>
      <c r="E57" s="6">
        <v>20</v>
      </c>
      <c r="F57" s="7">
        <f>(Tabelle13[[#This Row],[CO2 /100g]]^(1/3.5))-1.9</f>
        <v>0.45354689365025225</v>
      </c>
      <c r="G57" s="7">
        <f>MIN(5,ROUNDUP(Tabelle13[[#This Row],[CO2 Normallisiert]]*2,0)/2)</f>
        <v>0.5</v>
      </c>
      <c r="H57" s="6">
        <v>90</v>
      </c>
      <c r="I57" s="6">
        <f>MAX(0,(Tabelle13[[#This Row],[Wasser / 100g]]^(1/3.5))-2.3)</f>
        <v>1.3170540848218879</v>
      </c>
      <c r="J57" s="6">
        <f>MIN(5,ROUNDUP(Tabelle13[[#This Row],[Wasser Normallisiert]]*2,0)/2)</f>
        <v>1.5</v>
      </c>
    </row>
    <row r="58" spans="2:10" ht="15" customHeight="1" x14ac:dyDescent="0.25">
      <c r="B58" s="6">
        <v>56</v>
      </c>
      <c r="C58" s="6" t="s">
        <v>60</v>
      </c>
      <c r="D58" s="6" t="s">
        <v>1</v>
      </c>
      <c r="E58" s="6">
        <v>20</v>
      </c>
      <c r="F58" s="7">
        <f>(Tabelle13[[#This Row],[CO2 /100g]]^(1/3.5))-1.9</f>
        <v>0.45354689365025225</v>
      </c>
      <c r="G58" s="7">
        <f>MIN(5,ROUNDUP(Tabelle13[[#This Row],[CO2 Normallisiert]]*2,0)/2)</f>
        <v>0.5</v>
      </c>
      <c r="H58" s="6">
        <v>218</v>
      </c>
      <c r="I58" s="6">
        <f>MAX(0,(Tabelle13[[#This Row],[Wasser / 100g]]^(1/3.5))-2.3)</f>
        <v>2.3572593872054144</v>
      </c>
      <c r="J58" s="6">
        <f>MIN(5,ROUNDUP(Tabelle13[[#This Row],[Wasser Normallisiert]]*2,0)/2)</f>
        <v>2.5</v>
      </c>
    </row>
    <row r="59" spans="2:10" ht="15" customHeight="1" x14ac:dyDescent="0.25">
      <c r="B59" s="6">
        <v>57</v>
      </c>
      <c r="C59" s="6" t="s">
        <v>61</v>
      </c>
      <c r="D59" s="6" t="s">
        <v>15</v>
      </c>
      <c r="E59" s="6">
        <v>40</v>
      </c>
      <c r="F59" s="7">
        <f>(Tabelle13[[#This Row],[CO2 /100g]]^(1/3.5))-1.9</f>
        <v>0.96900579917018614</v>
      </c>
      <c r="G59" s="7">
        <f>MIN(5,ROUNDUP(Tabelle13[[#This Row],[CO2 Normallisiert]]*2,0)/2)</f>
        <v>1</v>
      </c>
      <c r="H59" s="6">
        <v>23</v>
      </c>
      <c r="I59" s="6">
        <f>MAX(0,(Tabelle13[[#This Row],[Wasser / 100g]]^(1/3.5))-2.3)</f>
        <v>0.14943035721995424</v>
      </c>
      <c r="J59" s="6">
        <f>MIN(5,ROUNDUP(Tabelle13[[#This Row],[Wasser Normallisiert]]*2,0)/2)</f>
        <v>0.5</v>
      </c>
    </row>
    <row r="60" spans="2:10" ht="15" customHeight="1" x14ac:dyDescent="0.25">
      <c r="B60" s="6">
        <v>58</v>
      </c>
      <c r="C60" s="6" t="s">
        <v>62</v>
      </c>
      <c r="D60" s="6" t="s">
        <v>15</v>
      </c>
      <c r="E60" s="6">
        <v>87</v>
      </c>
      <c r="F60" s="7">
        <f>(Tabelle13[[#This Row],[CO2 /100g]]^(1/3.5))-1.9</f>
        <v>1.6821878612988486</v>
      </c>
      <c r="G60" s="7">
        <f>MIN(5,ROUNDUP(Tabelle13[[#This Row],[CO2 Normallisiert]]*2,0)/2)</f>
        <v>2</v>
      </c>
      <c r="H60" s="6">
        <v>23</v>
      </c>
      <c r="I60" s="6">
        <f>MAX(0,(Tabelle13[[#This Row],[Wasser / 100g]]^(1/3.5))-2.3)</f>
        <v>0.14943035721995424</v>
      </c>
      <c r="J60" s="6">
        <f>MIN(5,ROUNDUP(Tabelle13[[#This Row],[Wasser Normallisiert]]*2,0)/2)</f>
        <v>0.5</v>
      </c>
    </row>
    <row r="61" spans="2:10" ht="15" customHeight="1" x14ac:dyDescent="0.25">
      <c r="B61" s="6">
        <v>59</v>
      </c>
      <c r="C61" s="6" t="s">
        <v>63</v>
      </c>
      <c r="D61" s="6" t="s">
        <v>12</v>
      </c>
      <c r="E61" s="6">
        <v>40</v>
      </c>
      <c r="F61" s="7">
        <f>(Tabelle13[[#This Row],[CO2 /100g]]^(1/3.5))-1.9</f>
        <v>0.96900579917018614</v>
      </c>
      <c r="G61" s="7">
        <f>MIN(5,ROUNDUP(Tabelle13[[#This Row],[CO2 Normallisiert]]*2,0)/2)</f>
        <v>1</v>
      </c>
      <c r="H61" s="6">
        <v>63</v>
      </c>
      <c r="I61" s="6">
        <f>MAX(0,(Tabelle13[[#This Row],[Wasser / 100g]]^(1/3.5))-2.3)</f>
        <v>0.96661009489446048</v>
      </c>
      <c r="J61" s="6">
        <f>MIN(5,ROUNDUP(Tabelle13[[#This Row],[Wasser Normallisiert]]*2,0)/2)</f>
        <v>1</v>
      </c>
    </row>
    <row r="62" spans="2:10" ht="15" customHeight="1" x14ac:dyDescent="0.25">
      <c r="B62" s="6">
        <v>60</v>
      </c>
      <c r="C62" s="6" t="s">
        <v>64</v>
      </c>
      <c r="D62" s="6" t="s">
        <v>1</v>
      </c>
      <c r="E62" s="6">
        <v>20</v>
      </c>
      <c r="F62" s="7">
        <f>(Tabelle13[[#This Row],[CO2 /100g]]^(1/3.5))-1.9</f>
        <v>0.45354689365025225</v>
      </c>
      <c r="G62" s="7">
        <f>MIN(5,ROUNDUP(Tabelle13[[#This Row],[CO2 Normallisiert]]*2,0)/2)</f>
        <v>0.5</v>
      </c>
      <c r="H62" s="6">
        <v>218</v>
      </c>
      <c r="I62" s="6">
        <f>MAX(0,(Tabelle13[[#This Row],[Wasser / 100g]]^(1/3.5))-2.3)</f>
        <v>2.3572593872054144</v>
      </c>
      <c r="J62" s="6">
        <f>MIN(5,ROUNDUP(Tabelle13[[#This Row],[Wasser Normallisiert]]*2,0)/2)</f>
        <v>2.5</v>
      </c>
    </row>
    <row r="63" spans="2:10" ht="15" customHeight="1" x14ac:dyDescent="0.25">
      <c r="B63" s="5">
        <v>61</v>
      </c>
      <c r="C63" s="5" t="s">
        <v>65</v>
      </c>
      <c r="D63" s="6" t="s">
        <v>1</v>
      </c>
      <c r="E63" s="6">
        <v>40</v>
      </c>
      <c r="F63" s="7">
        <f>(Tabelle13[[#This Row],[CO2 /100g]]^(1/3.5))-1.9</f>
        <v>0.96900579917018614</v>
      </c>
      <c r="G63" s="7">
        <f>MIN(5,ROUNDUP(Tabelle13[[#This Row],[CO2 Normallisiert]]*2,0)/2)</f>
        <v>1</v>
      </c>
      <c r="H63" s="6">
        <v>60</v>
      </c>
      <c r="I63" s="6">
        <f>MAX(0,(Tabelle13[[#This Row],[Wasser / 100g]]^(1/3.5))-2.3)</f>
        <v>0.92138931910848143</v>
      </c>
      <c r="J63" s="6">
        <f>MIN(5,ROUNDUP(Tabelle13[[#This Row],[Wasser Normallisiert]]*2,0)/2)</f>
        <v>1</v>
      </c>
    </row>
    <row r="64" spans="2:10" ht="15" customHeight="1" x14ac:dyDescent="0.25">
      <c r="B64" s="6">
        <v>62</v>
      </c>
      <c r="C64" s="6" t="s">
        <v>66</v>
      </c>
      <c r="D64" s="6" t="s">
        <v>12</v>
      </c>
      <c r="E64" s="6">
        <v>130</v>
      </c>
      <c r="F64" s="7">
        <f>(Tabelle13[[#This Row],[CO2 /100g]]^(1/3.5))-1.9</f>
        <v>2.1177583740224546</v>
      </c>
      <c r="G64" s="7">
        <f>MIN(5,ROUNDUP(Tabelle13[[#This Row],[CO2 Normallisiert]]*2,0)/2)</f>
        <v>2.5</v>
      </c>
      <c r="H64" s="6">
        <v>83</v>
      </c>
      <c r="I64" s="6">
        <f>MAX(0,(Tabelle13[[#This Row],[Wasser / 100g]]^(1/3.5))-2.3)</f>
        <v>1.2343375627535766</v>
      </c>
      <c r="J64" s="6">
        <f>MIN(5,ROUNDUP(Tabelle13[[#This Row],[Wasser Normallisiert]]*2,0)/2)</f>
        <v>1.5</v>
      </c>
    </row>
    <row r="65" spans="2:10" ht="15" customHeight="1" x14ac:dyDescent="0.25">
      <c r="B65" s="6">
        <v>63</v>
      </c>
      <c r="C65" s="6" t="s">
        <v>67</v>
      </c>
      <c r="D65" s="6" t="s">
        <v>1</v>
      </c>
      <c r="E65" s="6">
        <v>20</v>
      </c>
      <c r="F65" s="7">
        <f>(Tabelle13[[#This Row],[CO2 /100g]]^(1/3.5))-1.9</f>
        <v>0.45354689365025225</v>
      </c>
      <c r="G65" s="7">
        <f>MIN(5,ROUNDUP(Tabelle13[[#This Row],[CO2 Normallisiert]]*2,0)/2)</f>
        <v>0.5</v>
      </c>
      <c r="H65" s="6">
        <v>36</v>
      </c>
      <c r="I65" s="6">
        <f>MAX(0,(Tabelle13[[#This Row],[Wasser / 100g]]^(1/3.5))-2.3)</f>
        <v>0.48392709181553073</v>
      </c>
      <c r="J65" s="6">
        <f>MIN(5,ROUNDUP(Tabelle13[[#This Row],[Wasser Normallisiert]]*2,0)/2)</f>
        <v>0.5</v>
      </c>
    </row>
    <row r="66" spans="2:10" ht="15" customHeight="1" x14ac:dyDescent="0.25">
      <c r="B66" s="6">
        <v>64</v>
      </c>
      <c r="C66" s="6" t="s">
        <v>68</v>
      </c>
      <c r="D66" s="6" t="s">
        <v>1</v>
      </c>
      <c r="E66" s="6">
        <v>80</v>
      </c>
      <c r="F66" s="7">
        <f>(Tabelle13[[#This Row],[CO2 /100g]]^(1/3.5))-1.9</f>
        <v>1.5973572431802796</v>
      </c>
      <c r="G66" s="7">
        <f>MIN(5,ROUNDUP(Tabelle13[[#This Row],[CO2 Normallisiert]]*2,0)/2)</f>
        <v>2</v>
      </c>
      <c r="H66" s="6">
        <v>53</v>
      </c>
      <c r="I66" s="6">
        <f>MAX(0,(Tabelle13[[#This Row],[Wasser / 100g]]^(1/3.5))-2.3)</f>
        <v>0.80921137902068052</v>
      </c>
      <c r="J66" s="6">
        <f>MIN(5,ROUNDUP(Tabelle13[[#This Row],[Wasser Normallisiert]]*2,0)/2)</f>
        <v>1</v>
      </c>
    </row>
    <row r="67" spans="2:10" ht="15" customHeight="1" x14ac:dyDescent="0.25">
      <c r="B67" s="6">
        <v>65</v>
      </c>
      <c r="C67" s="6" t="s">
        <v>69</v>
      </c>
      <c r="D67" s="6" t="s">
        <v>1</v>
      </c>
      <c r="E67" s="6">
        <v>20</v>
      </c>
      <c r="F67" s="7">
        <f>(Tabelle13[[#This Row],[CO2 /100g]]^(1/3.5))-1.9</f>
        <v>0.45354689365025225</v>
      </c>
      <c r="G67" s="7">
        <f>MIN(5,ROUNDUP(Tabelle13[[#This Row],[CO2 Normallisiert]]*2,0)/2)</f>
        <v>0.5</v>
      </c>
      <c r="H67" s="6">
        <v>30</v>
      </c>
      <c r="I67" s="6">
        <f>MAX(0,(Tabelle13[[#This Row],[Wasser / 100g]]^(1/3.5))-2.3)</f>
        <v>0.34261955393005872</v>
      </c>
      <c r="J67" s="6">
        <f>MIN(5,ROUNDUP(Tabelle13[[#This Row],[Wasser Normallisiert]]*2,0)/2)</f>
        <v>0.5</v>
      </c>
    </row>
    <row r="68" spans="2:10" ht="15" customHeight="1" x14ac:dyDescent="0.25">
      <c r="B68" s="6">
        <v>66</v>
      </c>
      <c r="C68" s="6" t="s">
        <v>70</v>
      </c>
      <c r="D68" s="6" t="s">
        <v>1</v>
      </c>
      <c r="E68" s="6">
        <v>30</v>
      </c>
      <c r="F68" s="7">
        <f>(Tabelle13[[#This Row],[CO2 /100g]]^(1/3.5))-1.9</f>
        <v>0.74261955393005863</v>
      </c>
      <c r="G68" s="7">
        <f>MIN(5,ROUNDUP(Tabelle13[[#This Row],[CO2 Normallisiert]]*2,0)/2)</f>
        <v>1</v>
      </c>
      <c r="H68" s="6">
        <v>30</v>
      </c>
      <c r="I68" s="6">
        <f>MAX(0,(Tabelle13[[#This Row],[Wasser / 100g]]^(1/3.5))-2.3)</f>
        <v>0.34261955393005872</v>
      </c>
      <c r="J68" s="6">
        <f>MIN(5,ROUNDUP(Tabelle13[[#This Row],[Wasser Normallisiert]]*2,0)/2)</f>
        <v>0.5</v>
      </c>
    </row>
    <row r="69" spans="2:10" ht="15" customHeight="1" x14ac:dyDescent="0.25">
      <c r="B69" s="6">
        <v>67</v>
      </c>
      <c r="C69" s="6" t="s">
        <v>71</v>
      </c>
      <c r="D69" s="6" t="s">
        <v>1</v>
      </c>
      <c r="E69" s="6">
        <v>130</v>
      </c>
      <c r="F69" s="7">
        <f>(Tabelle13[[#This Row],[CO2 /100g]]^(1/3.5))-1.9</f>
        <v>2.1177583740224546</v>
      </c>
      <c r="G69" s="7">
        <f>MIN(5,ROUNDUP(Tabelle13[[#This Row],[CO2 Normallisiert]]*2,0)/2)</f>
        <v>2.5</v>
      </c>
      <c r="H69" s="6">
        <v>32</v>
      </c>
      <c r="I69" s="6">
        <f>MAX(0,(Tabelle13[[#This Row],[Wasser / 100g]]^(1/3.5))-2.3)</f>
        <v>0.39180038526471206</v>
      </c>
      <c r="J69" s="6">
        <f>MIN(5,ROUNDUP(Tabelle13[[#This Row],[Wasser Normallisiert]]*2,0)/2)</f>
        <v>0.5</v>
      </c>
    </row>
    <row r="70" spans="2:10" ht="15" customHeight="1" x14ac:dyDescent="0.25">
      <c r="B70" s="6">
        <v>68</v>
      </c>
      <c r="C70" s="6" t="s">
        <v>72</v>
      </c>
      <c r="D70" s="6" t="s">
        <v>1</v>
      </c>
      <c r="E70" s="6">
        <v>120</v>
      </c>
      <c r="F70" s="7">
        <f>(Tabelle13[[#This Row],[CO2 /100g]]^(1/3.5))-1.9</f>
        <v>2.0269175655016967</v>
      </c>
      <c r="G70" s="7">
        <f>MIN(5,ROUNDUP(Tabelle13[[#This Row],[CO2 Normallisiert]]*2,0)/2)</f>
        <v>2.5</v>
      </c>
      <c r="H70" s="6">
        <v>60</v>
      </c>
      <c r="I70" s="6">
        <f>MAX(0,(Tabelle13[[#This Row],[Wasser / 100g]]^(1/3.5))-2.3)</f>
        <v>0.92138931910848143</v>
      </c>
      <c r="J70" s="6">
        <f>MIN(5,ROUNDUP(Tabelle13[[#This Row],[Wasser Normallisiert]]*2,0)/2)</f>
        <v>1</v>
      </c>
    </row>
    <row r="71" spans="2:10" ht="15" customHeight="1" x14ac:dyDescent="0.25">
      <c r="B71" s="5">
        <v>69</v>
      </c>
      <c r="C71" s="5" t="s">
        <v>73</v>
      </c>
      <c r="D71" s="6" t="s">
        <v>1</v>
      </c>
      <c r="E71" s="6">
        <v>30</v>
      </c>
      <c r="F71" s="7">
        <f>(Tabelle13[[#This Row],[CO2 /100g]]^(1/3.5))-1.9</f>
        <v>0.74261955393005863</v>
      </c>
      <c r="G71" s="7">
        <f>MIN(5,ROUNDUP(Tabelle13[[#This Row],[CO2 Normallisiert]]*2,0)/2)</f>
        <v>1</v>
      </c>
      <c r="H71" s="6">
        <v>23</v>
      </c>
      <c r="I71" s="6">
        <f>MAX(0,(Tabelle13[[#This Row],[Wasser / 100g]]^(1/3.5))-2.3)</f>
        <v>0.14943035721995424</v>
      </c>
      <c r="J71" s="6">
        <f>MIN(5,ROUNDUP(Tabelle13[[#This Row],[Wasser Normallisiert]]*2,0)/2)</f>
        <v>0.5</v>
      </c>
    </row>
    <row r="72" spans="2:10" ht="15" customHeight="1" x14ac:dyDescent="0.25">
      <c r="B72" s="6">
        <v>70</v>
      </c>
      <c r="C72" s="6" t="s">
        <v>74</v>
      </c>
      <c r="D72" s="6" t="s">
        <v>1</v>
      </c>
      <c r="E72" s="6">
        <v>20</v>
      </c>
      <c r="F72" s="7">
        <f>(Tabelle13[[#This Row],[CO2 /100g]]^(1/3.5))-1.9</f>
        <v>0.45354689365025225</v>
      </c>
      <c r="G72" s="7">
        <f>MIN(5,ROUNDUP(Tabelle13[[#This Row],[CO2 Normallisiert]]*2,0)/2)</f>
        <v>0.5</v>
      </c>
      <c r="H72" s="6">
        <v>32</v>
      </c>
      <c r="I72" s="6">
        <f>MAX(0,(Tabelle13[[#This Row],[Wasser / 100g]]^(1/3.5))-2.3)</f>
        <v>0.39180038526471206</v>
      </c>
      <c r="J72" s="6">
        <f>MIN(5,ROUNDUP(Tabelle13[[#This Row],[Wasser Normallisiert]]*2,0)/2)</f>
        <v>0.5</v>
      </c>
    </row>
    <row r="73" spans="2:10" ht="15" customHeight="1" x14ac:dyDescent="0.25">
      <c r="B73" s="6">
        <v>71</v>
      </c>
      <c r="C73" s="6" t="s">
        <v>75</v>
      </c>
      <c r="D73" s="6" t="s">
        <v>1</v>
      </c>
      <c r="E73" s="6">
        <v>30</v>
      </c>
      <c r="F73" s="7">
        <f>(Tabelle13[[#This Row],[CO2 /100g]]^(1/3.5))-1.9</f>
        <v>0.74261955393005863</v>
      </c>
      <c r="G73" s="7">
        <f>MIN(5,ROUNDUP(Tabelle13[[#This Row],[CO2 Normallisiert]]*2,0)/2)</f>
        <v>1</v>
      </c>
      <c r="H73" s="6">
        <v>28</v>
      </c>
      <c r="I73" s="6">
        <f>MAX(0,(Tabelle13[[#This Row],[Wasser / 100g]]^(1/3.5))-2.3)</f>
        <v>0.29103764724092418</v>
      </c>
      <c r="J73" s="6">
        <f>MIN(5,ROUNDUP(Tabelle13[[#This Row],[Wasser Normallisiert]]*2,0)/2)</f>
        <v>0.5</v>
      </c>
    </row>
    <row r="74" spans="2:10" ht="15" customHeight="1" x14ac:dyDescent="0.25">
      <c r="B74" s="6">
        <v>72</v>
      </c>
      <c r="C74" s="6" t="s">
        <v>76</v>
      </c>
      <c r="D74" s="6" t="s">
        <v>1</v>
      </c>
      <c r="E74" s="6">
        <v>40</v>
      </c>
      <c r="F74" s="7">
        <f>(Tabelle13[[#This Row],[CO2 /100g]]^(1/3.5))-1.9</f>
        <v>0.96900579917018614</v>
      </c>
      <c r="G74" s="7">
        <f>MIN(5,ROUNDUP(Tabelle13[[#This Row],[CO2 Normallisiert]]*2,0)/2)</f>
        <v>1</v>
      </c>
      <c r="H74" s="6">
        <v>36</v>
      </c>
      <c r="I74" s="6">
        <f>MAX(0,(Tabelle13[[#This Row],[Wasser / 100g]]^(1/3.5))-2.3)</f>
        <v>0.48392709181553073</v>
      </c>
      <c r="J74" s="6">
        <f>MIN(5,ROUNDUP(Tabelle13[[#This Row],[Wasser Normallisiert]]*2,0)/2)</f>
        <v>0.5</v>
      </c>
    </row>
    <row r="75" spans="2:10" ht="15" customHeight="1" x14ac:dyDescent="0.25">
      <c r="B75" s="5">
        <v>73</v>
      </c>
      <c r="C75" s="5" t="s">
        <v>77</v>
      </c>
      <c r="D75" s="6" t="s">
        <v>1</v>
      </c>
      <c r="E75" s="6">
        <v>20</v>
      </c>
      <c r="F75" s="7">
        <f>(Tabelle13[[#This Row],[CO2 /100g]]^(1/3.5))-1.9</f>
        <v>0.45354689365025225</v>
      </c>
      <c r="G75" s="7">
        <f>MIN(5,ROUNDUP(Tabelle13[[#This Row],[CO2 Normallisiert]]*2,0)/2)</f>
        <v>0.5</v>
      </c>
      <c r="H75" s="6">
        <v>30</v>
      </c>
      <c r="I75" s="6">
        <f>MAX(0,(Tabelle13[[#This Row],[Wasser / 100g]]^(1/3.5))-2.3)</f>
        <v>0.34261955393005872</v>
      </c>
      <c r="J75" s="6">
        <f>MIN(5,ROUNDUP(Tabelle13[[#This Row],[Wasser Normallisiert]]*2,0)/2)</f>
        <v>0.5</v>
      </c>
    </row>
    <row r="76" spans="2:10" ht="15" customHeight="1" x14ac:dyDescent="0.25">
      <c r="B76" s="6">
        <v>74</v>
      </c>
      <c r="C76" s="6" t="s">
        <v>78</v>
      </c>
      <c r="D76" s="6" t="s">
        <v>12</v>
      </c>
      <c r="E76" s="6">
        <v>130</v>
      </c>
      <c r="F76" s="7">
        <f>(Tabelle13[[#This Row],[CO2 /100g]]^(1/3.5))-1.9</f>
        <v>2.1177583740224546</v>
      </c>
      <c r="G76" s="7">
        <f>MIN(5,ROUNDUP(Tabelle13[[#This Row],[CO2 Normallisiert]]*2,0)/2)</f>
        <v>2.5</v>
      </c>
      <c r="H76" s="6">
        <v>137</v>
      </c>
      <c r="I76" s="6">
        <f>MAX(0,(Tabelle13[[#This Row],[Wasser / 100g]]^(1/3.5))-2.3)</f>
        <v>1.77841664525348</v>
      </c>
      <c r="J76" s="6">
        <f>MIN(5,ROUNDUP(Tabelle13[[#This Row],[Wasser Normallisiert]]*2,0)/2)</f>
        <v>2</v>
      </c>
    </row>
    <row r="77" spans="2:10" ht="15" customHeight="1" x14ac:dyDescent="0.25">
      <c r="B77" s="6">
        <v>75</v>
      </c>
      <c r="C77" s="6" t="s">
        <v>79</v>
      </c>
      <c r="D77" s="6" t="s">
        <v>1</v>
      </c>
      <c r="E77" s="6">
        <v>95</v>
      </c>
      <c r="F77" s="7">
        <f>(Tabelle13[[#This Row],[CO2 /100g]]^(1/3.5))-1.9</f>
        <v>1.7733633381894607</v>
      </c>
      <c r="G77" s="7">
        <f>MIN(5,ROUNDUP(Tabelle13[[#This Row],[CO2 Normallisiert]]*2,0)/2)</f>
        <v>2</v>
      </c>
      <c r="H77" s="6">
        <v>60</v>
      </c>
      <c r="I77" s="6">
        <f>MAX(0,(Tabelle13[[#This Row],[Wasser / 100g]]^(1/3.5))-2.3)</f>
        <v>0.92138931910848143</v>
      </c>
      <c r="J77" s="6">
        <f>MIN(5,ROUNDUP(Tabelle13[[#This Row],[Wasser Normallisiert]]*2,0)/2)</f>
        <v>1</v>
      </c>
    </row>
    <row r="78" spans="2:10" ht="15" customHeight="1" x14ac:dyDescent="0.25">
      <c r="B78" s="5">
        <v>76</v>
      </c>
      <c r="C78" s="5" t="s">
        <v>80</v>
      </c>
      <c r="D78" s="6" t="s">
        <v>1</v>
      </c>
      <c r="E78" s="6">
        <v>20</v>
      </c>
      <c r="F78" s="7">
        <f>(Tabelle13[[#This Row],[CO2 /100g]]^(1/3.5))-1.9</f>
        <v>0.45354689365025225</v>
      </c>
      <c r="G78" s="7">
        <f>MIN(5,ROUNDUP(Tabelle13[[#This Row],[CO2 Normallisiert]]*2,0)/2)</f>
        <v>0.5</v>
      </c>
      <c r="H78" s="6">
        <v>32</v>
      </c>
      <c r="I78" s="6">
        <f>MAX(0,(Tabelle13[[#This Row],[Wasser / 100g]]^(1/3.5))-2.3)</f>
        <v>0.39180038526471206</v>
      </c>
      <c r="J78" s="6">
        <f>MIN(5,ROUNDUP(Tabelle13[[#This Row],[Wasser Normallisiert]]*2,0)/2)</f>
        <v>0.5</v>
      </c>
    </row>
    <row r="79" spans="2:10" ht="15" customHeight="1" x14ac:dyDescent="0.25">
      <c r="B79" s="6">
        <v>77</v>
      </c>
      <c r="C79" s="6" t="s">
        <v>81</v>
      </c>
      <c r="D79" s="6" t="s">
        <v>1</v>
      </c>
      <c r="E79" s="6">
        <v>120</v>
      </c>
      <c r="F79" s="7">
        <f>(Tabelle13[[#This Row],[CO2 /100g]]^(1/3.5))-1.9</f>
        <v>2.0269175655016967</v>
      </c>
      <c r="G79" s="7">
        <f>MIN(5,ROUNDUP(Tabelle13[[#This Row],[CO2 Normallisiert]]*2,0)/2)</f>
        <v>2.5</v>
      </c>
      <c r="H79" s="6">
        <v>190</v>
      </c>
      <c r="I79" s="6">
        <f>MAX(0,(Tabelle13[[#This Row],[Wasser / 100g]]^(1/3.5))-2.3)</f>
        <v>2.1778800661070843</v>
      </c>
      <c r="J79" s="6">
        <f>MIN(5,ROUNDUP(Tabelle13[[#This Row],[Wasser Normallisiert]]*2,0)/2)</f>
        <v>2.5</v>
      </c>
    </row>
    <row r="80" spans="2:10" ht="15" customHeight="1" x14ac:dyDescent="0.25">
      <c r="B80" s="5">
        <v>78</v>
      </c>
      <c r="C80" s="5" t="s">
        <v>82</v>
      </c>
      <c r="D80" s="6" t="s">
        <v>1</v>
      </c>
      <c r="E80" s="6">
        <v>120</v>
      </c>
      <c r="F80" s="7">
        <f>(Tabelle13[[#This Row],[CO2 /100g]]^(1/3.5))-1.9</f>
        <v>2.0269175655016967</v>
      </c>
      <c r="G80" s="7">
        <f>MIN(5,ROUNDUP(Tabelle13[[#This Row],[CO2 Normallisiert]]*2,0)/2)</f>
        <v>2.5</v>
      </c>
      <c r="H80" s="6">
        <v>124</v>
      </c>
      <c r="I80" s="6">
        <f>MAX(0,(Tabelle13[[#This Row],[Wasser / 100g]]^(1/3.5))-2.3)</f>
        <v>1.6638798450167704</v>
      </c>
      <c r="J80" s="6">
        <f>MIN(5,ROUNDUP(Tabelle13[[#This Row],[Wasser Normallisiert]]*2,0)/2)</f>
        <v>2</v>
      </c>
    </row>
    <row r="81" spans="2:10" ht="15" customHeight="1" x14ac:dyDescent="0.25">
      <c r="B81" s="5">
        <v>79</v>
      </c>
      <c r="C81" s="5" t="s">
        <v>83</v>
      </c>
      <c r="D81" s="6" t="s">
        <v>1</v>
      </c>
      <c r="E81" s="6">
        <v>10</v>
      </c>
      <c r="F81" s="7">
        <f>(Tabelle13[[#This Row],[CO2 /100g]]^(1/3.5))-1.9</f>
        <v>3.0697728883250175E-2</v>
      </c>
      <c r="G81" s="7">
        <f>MIN(5,ROUNDUP(Tabelle13[[#This Row],[CO2 Normallisiert]]*2,0)/2)</f>
        <v>0.5</v>
      </c>
      <c r="H81" s="6">
        <v>19</v>
      </c>
      <c r="I81" s="6">
        <f>MAX(0,(Tabelle13[[#This Row],[Wasser / 100g]]^(1/3.5))-2.3)</f>
        <v>1.9306641903582999E-2</v>
      </c>
      <c r="J81" s="6">
        <f>MIN(5,ROUNDUP(Tabelle13[[#This Row],[Wasser Normallisiert]]*2,0)/2)</f>
        <v>0.5</v>
      </c>
    </row>
    <row r="82" spans="2:10" ht="15" customHeight="1" x14ac:dyDescent="0.25">
      <c r="B82" s="6">
        <v>80</v>
      </c>
      <c r="C82" s="6" t="s">
        <v>84</v>
      </c>
      <c r="D82" s="6" t="s">
        <v>1</v>
      </c>
      <c r="E82" s="6">
        <v>60</v>
      </c>
      <c r="F82" s="7">
        <f>(Tabelle13[[#This Row],[CO2 /100g]]^(1/3.5))-1.9</f>
        <v>1.3213893191084813</v>
      </c>
      <c r="G82" s="7">
        <f>MIN(5,ROUNDUP(Tabelle13[[#This Row],[CO2 Normallisiert]]*2,0)/2)</f>
        <v>1.5</v>
      </c>
      <c r="H82" s="6">
        <v>38</v>
      </c>
      <c r="I82" s="6">
        <f>MAX(0,(Tabelle13[[#This Row],[Wasser / 100g]]^(1/3.5))-2.3)</f>
        <v>0.52726646476759687</v>
      </c>
      <c r="J82" s="6">
        <f>MIN(5,ROUNDUP(Tabelle13[[#This Row],[Wasser Normallisiert]]*2,0)/2)</f>
        <v>1</v>
      </c>
    </row>
    <row r="83" spans="2:10" ht="15" customHeight="1" x14ac:dyDescent="0.25">
      <c r="B83" s="6">
        <v>81</v>
      </c>
      <c r="C83" s="6" t="s">
        <v>85</v>
      </c>
      <c r="D83" s="6" t="s">
        <v>1</v>
      </c>
      <c r="E83" s="6">
        <v>40</v>
      </c>
      <c r="F83" s="7">
        <f>(Tabelle13[[#This Row],[CO2 /100g]]^(1/3.5))-1.9</f>
        <v>0.96900579917018614</v>
      </c>
      <c r="G83" s="7">
        <f>MIN(5,ROUNDUP(Tabelle13[[#This Row],[CO2 Normallisiert]]*2,0)/2)</f>
        <v>1</v>
      </c>
      <c r="H83" s="6">
        <v>30</v>
      </c>
      <c r="I83" s="6">
        <f>MAX(0,(Tabelle13[[#This Row],[Wasser / 100g]]^(1/3.5))-2.3)</f>
        <v>0.34261955393005872</v>
      </c>
      <c r="J83" s="6">
        <f>MIN(5,ROUNDUP(Tabelle13[[#This Row],[Wasser Normallisiert]]*2,0)/2)</f>
        <v>0.5</v>
      </c>
    </row>
    <row r="84" spans="2:10" ht="15" customHeight="1" x14ac:dyDescent="0.25">
      <c r="B84" s="6">
        <v>82</v>
      </c>
      <c r="C84" s="6" t="s">
        <v>86</v>
      </c>
      <c r="D84" s="6" t="s">
        <v>1</v>
      </c>
      <c r="E84" s="6">
        <v>20</v>
      </c>
      <c r="F84" s="7">
        <f>(Tabelle13[[#This Row],[CO2 /100g]]^(1/3.5))-1.9</f>
        <v>0.45354689365025225</v>
      </c>
      <c r="G84" s="7">
        <f>MIN(5,ROUNDUP(Tabelle13[[#This Row],[CO2 Normallisiert]]*2,0)/2)</f>
        <v>0.5</v>
      </c>
      <c r="H84" s="6">
        <v>32</v>
      </c>
      <c r="I84" s="6">
        <f>MAX(0,(Tabelle13[[#This Row],[Wasser / 100g]]^(1/3.5))-2.3)</f>
        <v>0.39180038526471206</v>
      </c>
      <c r="J84" s="6">
        <f>MIN(5,ROUNDUP(Tabelle13[[#This Row],[Wasser Normallisiert]]*2,0)/2)</f>
        <v>0.5</v>
      </c>
    </row>
    <row r="85" spans="2:10" ht="15" customHeight="1" x14ac:dyDescent="0.25">
      <c r="B85" s="6">
        <v>83</v>
      </c>
      <c r="C85" s="6" t="s">
        <v>87</v>
      </c>
      <c r="D85" s="6" t="s">
        <v>1</v>
      </c>
      <c r="E85" s="6">
        <v>30</v>
      </c>
      <c r="F85" s="7">
        <f>(Tabelle13[[#This Row],[CO2 /100g]]^(1/3.5))-1.9</f>
        <v>0.74261955393005863</v>
      </c>
      <c r="G85" s="7">
        <f>MIN(5,ROUNDUP(Tabelle13[[#This Row],[CO2 Normallisiert]]*2,0)/2)</f>
        <v>1</v>
      </c>
      <c r="H85" s="6">
        <v>29</v>
      </c>
      <c r="I85" s="6">
        <f>MAX(0,(Tabelle13[[#This Row],[Wasser / 100g]]^(1/3.5))-2.3)</f>
        <v>0.31714629257067894</v>
      </c>
      <c r="J85" s="6">
        <f>MIN(5,ROUNDUP(Tabelle13[[#This Row],[Wasser Normallisiert]]*2,0)/2)</f>
        <v>0.5</v>
      </c>
    </row>
    <row r="86" spans="2:10" ht="15" customHeight="1" x14ac:dyDescent="0.25">
      <c r="B86" s="6">
        <v>84</v>
      </c>
      <c r="C86" s="6" t="s">
        <v>88</v>
      </c>
      <c r="D86" s="6" t="s">
        <v>1</v>
      </c>
      <c r="E86" s="6">
        <v>20</v>
      </c>
      <c r="F86" s="7">
        <f>(Tabelle13[[#This Row],[CO2 /100g]]^(1/3.5))-1.9</f>
        <v>0.45354689365025225</v>
      </c>
      <c r="G86" s="7">
        <f>MIN(5,ROUNDUP(Tabelle13[[#This Row],[CO2 Normallisiert]]*2,0)/2)</f>
        <v>0.5</v>
      </c>
      <c r="H86" s="6">
        <v>20</v>
      </c>
      <c r="I86" s="6">
        <f>MAX(0,(Tabelle13[[#This Row],[Wasser / 100g]]^(1/3.5))-2.3)</f>
        <v>5.3546893650252336E-2</v>
      </c>
      <c r="J86" s="6">
        <f>MIN(5,ROUNDUP(Tabelle13[[#This Row],[Wasser Normallisiert]]*2,0)/2)</f>
        <v>0.5</v>
      </c>
    </row>
    <row r="87" spans="2:10" ht="15" customHeight="1" x14ac:dyDescent="0.25">
      <c r="B87" s="6">
        <v>85</v>
      </c>
      <c r="C87" s="6" t="s">
        <v>89</v>
      </c>
      <c r="D87" s="6" t="s">
        <v>1</v>
      </c>
      <c r="E87" s="6">
        <v>20</v>
      </c>
      <c r="F87" s="7">
        <f>(Tabelle13[[#This Row],[CO2 /100g]]^(1/3.5))-1.9</f>
        <v>0.45354689365025225</v>
      </c>
      <c r="G87" s="7">
        <f>MIN(5,ROUNDUP(Tabelle13[[#This Row],[CO2 Normallisiert]]*2,0)/2)</f>
        <v>0.5</v>
      </c>
      <c r="H87" s="6">
        <v>28</v>
      </c>
      <c r="I87" s="6">
        <f>MAX(0,(Tabelle13[[#This Row],[Wasser / 100g]]^(1/3.5))-2.3)</f>
        <v>0.29103764724092418</v>
      </c>
      <c r="J87" s="6">
        <f>MIN(5,ROUNDUP(Tabelle13[[#This Row],[Wasser Normallisiert]]*2,0)/2)</f>
        <v>0.5</v>
      </c>
    </row>
    <row r="88" spans="2:10" ht="15" customHeight="1" x14ac:dyDescent="0.25">
      <c r="B88" s="6">
        <v>86</v>
      </c>
      <c r="C88" s="6" t="s">
        <v>90</v>
      </c>
      <c r="D88" s="6" t="s">
        <v>1</v>
      </c>
      <c r="E88" s="6">
        <v>20</v>
      </c>
      <c r="F88" s="7">
        <f>(Tabelle13[[#This Row],[CO2 /100g]]^(1/3.5))-1.9</f>
        <v>0.45354689365025225</v>
      </c>
      <c r="G88" s="7">
        <f>MIN(5,ROUNDUP(Tabelle13[[#This Row],[CO2 Normallisiert]]*2,0)/2)</f>
        <v>0.5</v>
      </c>
      <c r="H88" s="6">
        <v>22</v>
      </c>
      <c r="I88" s="6">
        <f>MAX(0,(Tabelle13[[#This Row],[Wasser / 100g]]^(1/3.5))-2.3)</f>
        <v>0.11851807446827634</v>
      </c>
      <c r="J88" s="6">
        <f>MIN(5,ROUNDUP(Tabelle13[[#This Row],[Wasser Normallisiert]]*2,0)/2)</f>
        <v>0.5</v>
      </c>
    </row>
    <row r="89" spans="2:10" ht="15" customHeight="1" x14ac:dyDescent="0.25">
      <c r="B89" s="6">
        <v>87</v>
      </c>
      <c r="C89" s="6" t="s">
        <v>91</v>
      </c>
      <c r="D89" s="6" t="s">
        <v>12</v>
      </c>
      <c r="E89" s="6">
        <v>389</v>
      </c>
      <c r="F89" s="7">
        <f>(Tabelle13[[#This Row],[CO2 /100g]]^(1/3.5))-1.9</f>
        <v>3.5952265338838747</v>
      </c>
      <c r="G89" s="7">
        <f>MIN(5,ROUNDUP(Tabelle13[[#This Row],[CO2 Normallisiert]]*2,0)/2)</f>
        <v>4</v>
      </c>
      <c r="H89" s="6">
        <v>378</v>
      </c>
      <c r="I89" s="6">
        <f>MAX(0,(Tabelle13[[#This Row],[Wasser / 100g]]^(1/3.5))-2.3)</f>
        <v>3.1503730500950358</v>
      </c>
      <c r="J89" s="6">
        <f>MIN(5,ROUNDUP(Tabelle13[[#This Row],[Wasser Normallisiert]]*2,0)/2)</f>
        <v>3.5</v>
      </c>
    </row>
    <row r="90" spans="2:10" ht="15" customHeight="1" x14ac:dyDescent="0.25">
      <c r="B90" s="5">
        <v>88</v>
      </c>
      <c r="C90" s="5" t="s">
        <v>92</v>
      </c>
      <c r="D90" s="6" t="s">
        <v>1</v>
      </c>
      <c r="E90" s="6">
        <v>70</v>
      </c>
      <c r="F90" s="7">
        <f>(Tabelle13[[#This Row],[CO2 /100g]]^(1/3.5))-1.9</f>
        <v>1.4664399234565457</v>
      </c>
      <c r="G90" s="7">
        <f>MIN(5,ROUNDUP(Tabelle13[[#This Row],[CO2 Normallisiert]]*2,0)/2)</f>
        <v>1.5</v>
      </c>
      <c r="H90" s="6">
        <v>218</v>
      </c>
      <c r="I90" s="6">
        <f>MAX(0,(Tabelle13[[#This Row],[Wasser / 100g]]^(1/3.5))-2.3)</f>
        <v>2.3572593872054144</v>
      </c>
      <c r="J90" s="6">
        <f>MIN(5,ROUNDUP(Tabelle13[[#This Row],[Wasser Normallisiert]]*2,0)/2)</f>
        <v>2.5</v>
      </c>
    </row>
    <row r="91" spans="2:10" ht="15" customHeight="1" x14ac:dyDescent="0.25">
      <c r="B91" s="6">
        <v>89</v>
      </c>
      <c r="C91" s="6" t="s">
        <v>93</v>
      </c>
      <c r="D91" s="6" t="s">
        <v>1</v>
      </c>
      <c r="E91" s="6">
        <v>20</v>
      </c>
      <c r="F91" s="7">
        <f>(Tabelle13[[#This Row],[CO2 /100g]]^(1/3.5))-1.9</f>
        <v>0.45354689365025225</v>
      </c>
      <c r="G91" s="7">
        <f>MIN(5,ROUNDUP(Tabelle13[[#This Row],[CO2 Normallisiert]]*2,0)/2)</f>
        <v>0.5</v>
      </c>
      <c r="H91" s="6">
        <v>30</v>
      </c>
      <c r="I91" s="6">
        <f>MAX(0,(Tabelle13[[#This Row],[Wasser / 100g]]^(1/3.5))-2.3)</f>
        <v>0.34261955393005872</v>
      </c>
      <c r="J91" s="6">
        <f>MIN(5,ROUNDUP(Tabelle13[[#This Row],[Wasser Normallisiert]]*2,0)/2)</f>
        <v>0.5</v>
      </c>
    </row>
    <row r="92" spans="2:10" ht="15" customHeight="1" x14ac:dyDescent="0.25">
      <c r="B92" s="6">
        <v>90</v>
      </c>
      <c r="C92" s="6" t="s">
        <v>94</v>
      </c>
      <c r="D92" s="6" t="s">
        <v>1</v>
      </c>
      <c r="E92" s="6">
        <v>40</v>
      </c>
      <c r="F92" s="7">
        <f>(Tabelle13[[#This Row],[CO2 /100g]]^(1/3.5))-1.9</f>
        <v>0.96900579917018614</v>
      </c>
      <c r="G92" s="7">
        <f>MIN(5,ROUNDUP(Tabelle13[[#This Row],[CO2 Normallisiert]]*2,0)/2)</f>
        <v>1</v>
      </c>
      <c r="H92" s="6">
        <v>40</v>
      </c>
      <c r="I92" s="6">
        <f>MAX(0,(Tabelle13[[#This Row],[Wasser / 100g]]^(1/3.5))-2.3)</f>
        <v>0.56900579917018623</v>
      </c>
      <c r="J92" s="6">
        <f>MIN(5,ROUNDUP(Tabelle13[[#This Row],[Wasser Normallisiert]]*2,0)/2)</f>
        <v>1</v>
      </c>
    </row>
    <row r="93" spans="2:10" ht="15" customHeight="1" x14ac:dyDescent="0.25">
      <c r="B93" s="5">
        <v>91</v>
      </c>
      <c r="C93" s="5" t="s">
        <v>95</v>
      </c>
      <c r="D93" s="6" t="s">
        <v>1</v>
      </c>
      <c r="E93" s="6">
        <v>80</v>
      </c>
      <c r="F93" s="7">
        <f>(Tabelle13[[#This Row],[CO2 /100g]]^(1/3.5))-1.9</f>
        <v>1.5973572431802796</v>
      </c>
      <c r="G93" s="7">
        <f>MIN(5,ROUNDUP(Tabelle13[[#This Row],[CO2 Normallisiert]]*2,0)/2)</f>
        <v>2</v>
      </c>
      <c r="H93" s="6">
        <v>19</v>
      </c>
      <c r="I93" s="6">
        <f>MAX(0,(Tabelle13[[#This Row],[Wasser / 100g]]^(1/3.5))-2.3)</f>
        <v>1.9306641903582999E-2</v>
      </c>
      <c r="J93" s="6">
        <f>MIN(5,ROUNDUP(Tabelle13[[#This Row],[Wasser Normallisiert]]*2,0)/2)</f>
        <v>0.5</v>
      </c>
    </row>
    <row r="94" spans="2:10" ht="15" customHeight="1" x14ac:dyDescent="0.25">
      <c r="B94" s="6">
        <v>92</v>
      </c>
      <c r="C94" s="6" t="s">
        <v>96</v>
      </c>
      <c r="D94" s="6" t="s">
        <v>1</v>
      </c>
      <c r="E94" s="6">
        <v>20</v>
      </c>
      <c r="F94" s="7">
        <f>(Tabelle13[[#This Row],[CO2 /100g]]^(1/3.5))-1.9</f>
        <v>0.45354689365025225</v>
      </c>
      <c r="G94" s="7">
        <f>MIN(5,ROUNDUP(Tabelle13[[#This Row],[CO2 Normallisiert]]*2,0)/2)</f>
        <v>0.5</v>
      </c>
      <c r="H94" s="6">
        <v>34</v>
      </c>
      <c r="I94" s="6">
        <f>MAX(0,(Tabelle13[[#This Row],[Wasser / 100g]]^(1/3.5))-2.3)</f>
        <v>0.43883207207530006</v>
      </c>
      <c r="J94" s="6">
        <f>MIN(5,ROUNDUP(Tabelle13[[#This Row],[Wasser Normallisiert]]*2,0)/2)</f>
        <v>0.5</v>
      </c>
    </row>
    <row r="95" spans="2:10" ht="15" customHeight="1" x14ac:dyDescent="0.25">
      <c r="B95" s="6">
        <v>93</v>
      </c>
      <c r="C95" s="6" t="s">
        <v>97</v>
      </c>
      <c r="D95" s="6" t="s">
        <v>1</v>
      </c>
      <c r="E95" s="6">
        <v>20</v>
      </c>
      <c r="F95" s="7">
        <f>(Tabelle13[[#This Row],[CO2 /100g]]^(1/3.5))-1.9</f>
        <v>0.45354689365025225</v>
      </c>
      <c r="G95" s="7">
        <f>MIN(5,ROUNDUP(Tabelle13[[#This Row],[CO2 Normallisiert]]*2,0)/2)</f>
        <v>0.5</v>
      </c>
      <c r="H95" s="6">
        <v>27</v>
      </c>
      <c r="I95" s="6">
        <f>MAX(0,(Tabelle13[[#This Row],[Wasser / 100g]]^(1/3.5))-2.3)</f>
        <v>0.26425419972145647</v>
      </c>
      <c r="J95" s="6">
        <f>MIN(5,ROUNDUP(Tabelle13[[#This Row],[Wasser Normallisiert]]*2,0)/2)</f>
        <v>0.5</v>
      </c>
    </row>
    <row r="96" spans="2:10" ht="15" customHeight="1" x14ac:dyDescent="0.25">
      <c r="B96" s="6">
        <v>94</v>
      </c>
      <c r="C96" s="6" t="s">
        <v>98</v>
      </c>
      <c r="D96" s="6" t="s">
        <v>12</v>
      </c>
      <c r="E96" s="6">
        <v>41</v>
      </c>
      <c r="F96" s="7">
        <f>(Tabelle13[[#This Row],[CO2 /100g]]^(1/3.5))-1.9</f>
        <v>0.98931829578206676</v>
      </c>
      <c r="G96" s="7">
        <f>MIN(5,ROUNDUP(Tabelle13[[#This Row],[CO2 Normallisiert]]*2,0)/2)</f>
        <v>1</v>
      </c>
      <c r="H96" s="6">
        <v>92</v>
      </c>
      <c r="I96" s="6">
        <f>MAX(0,(Tabelle13[[#This Row],[Wasser / 100g]]^(1/3.5))-2.3)</f>
        <v>1.3398395224675284</v>
      </c>
      <c r="J96" s="6">
        <f>MIN(5,ROUNDUP(Tabelle13[[#This Row],[Wasser Normallisiert]]*2,0)/2)</f>
        <v>1.5</v>
      </c>
    </row>
    <row r="97" spans="2:10" ht="15" customHeight="1" x14ac:dyDescent="0.25">
      <c r="B97" s="6">
        <v>95</v>
      </c>
      <c r="C97" s="6" t="s">
        <v>99</v>
      </c>
      <c r="D97" s="6" t="s">
        <v>12</v>
      </c>
      <c r="E97" s="6">
        <v>294</v>
      </c>
      <c r="F97" s="7">
        <f>(Tabelle13[[#This Row],[CO2 /100g]]^(1/3.5))-1.9</f>
        <v>3.1727340546457614</v>
      </c>
      <c r="G97" s="7">
        <f>MIN(5,ROUNDUP(Tabelle13[[#This Row],[CO2 Normallisiert]]*2,0)/2)</f>
        <v>3.5</v>
      </c>
      <c r="H97" s="6">
        <v>269</v>
      </c>
      <c r="I97" s="6">
        <f>MAX(0,(Tabelle13[[#This Row],[Wasser / 100g]]^(1/3.5))-2.3)</f>
        <v>2.6455538736168176</v>
      </c>
      <c r="J97" s="6">
        <f>MIN(5,ROUNDUP(Tabelle13[[#This Row],[Wasser Normallisiert]]*2,0)/2)</f>
        <v>3</v>
      </c>
    </row>
    <row r="98" spans="2:10" ht="15" customHeight="1" x14ac:dyDescent="0.25">
      <c r="B98" s="6">
        <v>96</v>
      </c>
      <c r="C98" s="6" t="s">
        <v>100</v>
      </c>
      <c r="D98" s="6" t="s">
        <v>12</v>
      </c>
      <c r="E98" s="6">
        <v>576</v>
      </c>
      <c r="F98" s="7">
        <f>(Tabelle13[[#This Row],[CO2 /100g]]^(1/3.5))-1.9</f>
        <v>4.2474094178119213</v>
      </c>
      <c r="G98" s="7">
        <f>MIN(5,ROUNDUP(Tabelle13[[#This Row],[CO2 Normallisiert]]*2,0)/2)</f>
        <v>4.5</v>
      </c>
      <c r="H98" s="9">
        <v>1617</v>
      </c>
      <c r="I98" s="6">
        <f>MAX(0,(Tabelle13[[#This Row],[Wasser / 100g]]^(1/3.5))-2.3)</f>
        <v>5.9560875824475401</v>
      </c>
      <c r="J98" s="9">
        <f>MIN(5,ROUNDUP(Tabelle13[[#This Row],[Wasser Normallisiert]]*2,0)/2)</f>
        <v>5</v>
      </c>
    </row>
    <row r="99" spans="2:10" ht="15" customHeight="1" x14ac:dyDescent="0.25">
      <c r="B99" s="6">
        <v>97</v>
      </c>
      <c r="C99" s="6" t="s">
        <v>101</v>
      </c>
      <c r="D99" s="6" t="s">
        <v>1</v>
      </c>
      <c r="E99" s="6">
        <v>80</v>
      </c>
      <c r="F99" s="7">
        <f>(Tabelle13[[#This Row],[CO2 /100g]]^(1/3.5))-1.9</f>
        <v>1.5973572431802796</v>
      </c>
      <c r="G99" s="7">
        <f>MIN(5,ROUNDUP(Tabelle13[[#This Row],[CO2 Normallisiert]]*2,0)/2)</f>
        <v>2</v>
      </c>
      <c r="H99" s="6">
        <v>398</v>
      </c>
      <c r="I99" s="6">
        <f>MAX(0,(Tabelle13[[#This Row],[Wasser / 100g]]^(1/3.5))-2.3)</f>
        <v>3.2312556909876493</v>
      </c>
      <c r="J99" s="6">
        <f>MIN(5,ROUNDUP(Tabelle13[[#This Row],[Wasser Normallisiert]]*2,0)/2)</f>
        <v>3.5</v>
      </c>
    </row>
    <row r="100" spans="2:10" ht="15" customHeight="1" x14ac:dyDescent="0.25">
      <c r="B100" s="5">
        <v>98</v>
      </c>
      <c r="C100" s="5" t="s">
        <v>102</v>
      </c>
      <c r="D100" s="6" t="s">
        <v>1</v>
      </c>
      <c r="E100" s="6">
        <v>451</v>
      </c>
      <c r="F100" s="7">
        <f>(Tabelle13[[#This Row],[CO2 /100g]]^(1/3.5))-1.9</f>
        <v>3.8323956111066431</v>
      </c>
      <c r="G100" s="7">
        <f>MIN(5,ROUNDUP(Tabelle13[[#This Row],[CO2 Normallisiert]]*2,0)/2)</f>
        <v>4</v>
      </c>
      <c r="H100" s="9">
        <v>1058</v>
      </c>
      <c r="I100" s="6">
        <f>MAX(0,(Tabelle13[[#This Row],[Wasser / 100g]]^(1/3.5))-2.3)</f>
        <v>5.0137272835218525</v>
      </c>
      <c r="J100" s="9">
        <f>MIN(5,ROUNDUP(Tabelle13[[#This Row],[Wasser Normallisiert]]*2,0)/2)</f>
        <v>5</v>
      </c>
    </row>
    <row r="101" spans="2:10" ht="15" customHeight="1" x14ac:dyDescent="0.25">
      <c r="B101" s="6">
        <v>99</v>
      </c>
      <c r="C101" s="6" t="s">
        <v>103</v>
      </c>
      <c r="D101" s="6" t="s">
        <v>1</v>
      </c>
      <c r="E101" s="6">
        <v>90</v>
      </c>
      <c r="F101" s="7">
        <f>(Tabelle13[[#This Row],[CO2 /100g]]^(1/3.5))-1.9</f>
        <v>1.7170540848218878</v>
      </c>
      <c r="G101" s="7">
        <f>MIN(5,ROUNDUP(Tabelle13[[#This Row],[CO2 Normallisiert]]*2,0)/2)</f>
        <v>2</v>
      </c>
      <c r="H101" s="6">
        <v>934</v>
      </c>
      <c r="I101" s="6">
        <f>MAX(0,(Tabelle13[[#This Row],[Wasser / 100g]]^(1/3.5))-2.3)</f>
        <v>4.7578193171962901</v>
      </c>
      <c r="J101" s="6">
        <f>MIN(5,ROUNDUP(Tabelle13[[#This Row],[Wasser Normallisiert]]*2,0)/2)</f>
        <v>5</v>
      </c>
    </row>
    <row r="102" spans="2:10" ht="15" customHeight="1" x14ac:dyDescent="0.25">
      <c r="B102" s="6">
        <v>100</v>
      </c>
      <c r="C102" s="6" t="s">
        <v>104</v>
      </c>
      <c r="D102" s="6" t="s">
        <v>12</v>
      </c>
      <c r="E102" s="6">
        <v>845</v>
      </c>
      <c r="F102" s="7">
        <f>(Tabelle13[[#This Row],[CO2 /100g]]^(1/3.5))-1.9</f>
        <v>4.95874685377159</v>
      </c>
      <c r="G102" s="7">
        <f>MIN(5,ROUNDUP(Tabelle13[[#This Row],[CO2 Normallisiert]]*2,0)/2)</f>
        <v>5</v>
      </c>
      <c r="H102" s="9">
        <v>1430</v>
      </c>
      <c r="I102" s="6">
        <f>MAX(0,(Tabelle13[[#This Row],[Wasser / 100g]]^(1/3.5))-2.3)</f>
        <v>5.6712160835153895</v>
      </c>
      <c r="J102" s="9">
        <f>MIN(5,ROUNDUP(Tabelle13[[#This Row],[Wasser Normallisiert]]*2,0)/2)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EA22-69AF-4A14-80D2-0CC08E09A28C}">
  <sheetPr codeName="Tabelle4"/>
  <dimension ref="B2:I448"/>
  <sheetViews>
    <sheetView topLeftCell="C28" workbookViewId="0">
      <selection activeCell="F37" sqref="F37"/>
    </sheetView>
  </sheetViews>
  <sheetFormatPr baseColWidth="10" defaultRowHeight="15" customHeight="1" x14ac:dyDescent="0.25"/>
  <cols>
    <col min="2" max="2" width="20.7109375" style="4" customWidth="1"/>
    <col min="3" max="3" width="50" style="11" customWidth="1"/>
    <col min="4" max="9" width="20.7109375" style="4" customWidth="1"/>
  </cols>
  <sheetData>
    <row r="2" spans="2:9" ht="15" customHeight="1" x14ac:dyDescent="0.25">
      <c r="B2" s="4" t="s">
        <v>105</v>
      </c>
      <c r="C2" s="11" t="s">
        <v>19</v>
      </c>
      <c r="D2" s="4" t="s">
        <v>106</v>
      </c>
      <c r="E2" s="4" t="s">
        <v>118</v>
      </c>
      <c r="F2" s="4" t="s">
        <v>117</v>
      </c>
      <c r="G2" s="4" t="s">
        <v>107</v>
      </c>
      <c r="H2" s="4" t="s">
        <v>132</v>
      </c>
      <c r="I2" s="4" t="s">
        <v>133</v>
      </c>
    </row>
    <row r="3" spans="2:9" ht="15" customHeight="1" x14ac:dyDescent="0.25">
      <c r="B3" s="10">
        <v>1</v>
      </c>
      <c r="C3" s="12" t="s">
        <v>146</v>
      </c>
      <c r="D3" s="9">
        <v>113</v>
      </c>
      <c r="E3" s="7">
        <f>((Tabelle14[[#This Row],[CO2 /100g]]^(1/3.3))*0.9)-2.26</f>
        <v>1.510400569183223</v>
      </c>
      <c r="F3" s="7">
        <f>MIN(5,ROUNDUP(Tabelle14[[#This Row],[CO2 Normallisiert]]*2,0)/2)</f>
        <v>2</v>
      </c>
      <c r="G3" s="9">
        <v>105</v>
      </c>
      <c r="H3" s="6">
        <f>MAX(0,((Tabelle14[[#This Row],[Wasser / 100g]]^(1/3.5))*0.95)-2.08)</f>
        <v>1.510924401470684</v>
      </c>
      <c r="I3" s="9">
        <f>MIN(5,ROUNDUP(Tabelle14[[#This Row],[Wasser Normallisiert]]*2,0)/2)</f>
        <v>2</v>
      </c>
    </row>
    <row r="4" spans="2:9" ht="15" customHeight="1" x14ac:dyDescent="0.25">
      <c r="B4" s="10">
        <v>2</v>
      </c>
      <c r="C4" s="12" t="s">
        <v>147</v>
      </c>
      <c r="D4" s="6">
        <v>238</v>
      </c>
      <c r="E4" s="7">
        <f>((Tabelle14[[#This Row],[CO2 /100g]]^(1/3.3))*0.9)-2.26</f>
        <v>2.4651689874633655</v>
      </c>
      <c r="F4" s="7">
        <f>MIN(5,ROUNDUP(Tabelle14[[#This Row],[CO2 Normallisiert]]*2,0)/2)</f>
        <v>2.5</v>
      </c>
      <c r="G4" s="6">
        <v>280</v>
      </c>
      <c r="H4" s="6">
        <f>MAX(0,((Tabelle14[[#This Row],[Wasser / 100g]]^(1/3.5))*0.95)-2.08)</f>
        <v>2.6723849759300986</v>
      </c>
      <c r="I4" s="6">
        <f>MIN(5,ROUNDUP(Tabelle14[[#This Row],[Wasser Normallisiert]]*2,0)/2)</f>
        <v>3</v>
      </c>
    </row>
    <row r="5" spans="2:9" ht="15" customHeight="1" x14ac:dyDescent="0.25">
      <c r="B5" s="10">
        <v>3</v>
      </c>
      <c r="C5" s="12" t="s">
        <v>148</v>
      </c>
      <c r="D5" s="9">
        <v>46</v>
      </c>
      <c r="E5" s="7">
        <f>((Tabelle14[[#This Row],[CO2 /100g]]^(1/3.3))*0.9)-2.26</f>
        <v>0.61149800600930559</v>
      </c>
      <c r="F5" s="7">
        <f>MIN(5,ROUNDUP(Tabelle14[[#This Row],[CO2 Normallisiert]]*2,0)/2)</f>
        <v>1</v>
      </c>
      <c r="G5" s="9">
        <v>56</v>
      </c>
      <c r="H5" s="6">
        <f>MAX(0,((Tabelle14[[#This Row],[Wasser / 100g]]^(1/3.5))*0.95)-2.08)</f>
        <v>0.92058475701729892</v>
      </c>
      <c r="I5" s="9">
        <f>MIN(5,ROUNDUP(Tabelle14[[#This Row],[Wasser Normallisiert]]*2,0)/2)</f>
        <v>1</v>
      </c>
    </row>
    <row r="6" spans="2:9" ht="15" customHeight="1" x14ac:dyDescent="0.25">
      <c r="B6" s="10">
        <v>4</v>
      </c>
      <c r="C6" s="12" t="s">
        <v>149</v>
      </c>
      <c r="D6" s="6">
        <v>38</v>
      </c>
      <c r="E6" s="7">
        <f>((Tabelle14[[#This Row],[CO2 /100g]]^(1/3.3))*0.9)-2.26</f>
        <v>0.44997204847593819</v>
      </c>
      <c r="F6" s="7">
        <f>MIN(5,ROUNDUP(Tabelle14[[#This Row],[CO2 Normallisiert]]*2,0)/2)</f>
        <v>0.5</v>
      </c>
      <c r="G6" s="6">
        <v>77</v>
      </c>
      <c r="H6" s="6">
        <f>MAX(0,((Tabelle14[[#This Row],[Wasser / 100g]]^(1/3.5))*0.95)-2.08)</f>
        <v>1.2064040365137951</v>
      </c>
      <c r="I6" s="6">
        <f>MIN(5,ROUNDUP(Tabelle14[[#This Row],[Wasser Normallisiert]]*2,0)/2)</f>
        <v>1.5</v>
      </c>
    </row>
    <row r="7" spans="2:9" ht="15" customHeight="1" x14ac:dyDescent="0.25">
      <c r="B7" s="10">
        <v>5</v>
      </c>
      <c r="C7" s="12" t="s">
        <v>150</v>
      </c>
      <c r="D7" s="6">
        <v>405</v>
      </c>
      <c r="E7" s="7">
        <f>((Tabelle14[[#This Row],[CO2 /100g]]^(1/3.3))*0.9)-2.26</f>
        <v>3.2911171825091374</v>
      </c>
      <c r="F7" s="7">
        <f>MIN(5,ROUNDUP(Tabelle14[[#This Row],[CO2 Normallisiert]]*2,0)/2)</f>
        <v>3.5</v>
      </c>
      <c r="G7" s="6">
        <v>414</v>
      </c>
      <c r="H7" s="6">
        <f>MAX(0,((Tabelle14[[#This Row],[Wasser / 100g]]^(1/3.5))*0.95)-2.08)</f>
        <v>3.2342011429384678</v>
      </c>
      <c r="I7" s="6">
        <f>MIN(5,ROUNDUP(Tabelle14[[#This Row],[Wasser Normallisiert]]*2,0)/2)</f>
        <v>3.5</v>
      </c>
    </row>
    <row r="8" spans="2:9" ht="15" customHeight="1" x14ac:dyDescent="0.25">
      <c r="B8" s="10">
        <v>6</v>
      </c>
      <c r="C8" s="12" t="s">
        <v>151</v>
      </c>
      <c r="D8" s="6">
        <v>330</v>
      </c>
      <c r="E8" s="7">
        <f>((Tabelle14[[#This Row],[CO2 /100g]]^(1/3.3))*0.9)-2.26</f>
        <v>2.9570926791790892</v>
      </c>
      <c r="F8" s="7">
        <f>MIN(5,ROUNDUP(Tabelle14[[#This Row],[CO2 Normallisiert]]*2,0)/2)</f>
        <v>3</v>
      </c>
      <c r="G8" s="6">
        <v>505</v>
      </c>
      <c r="H8" s="6">
        <f>MAX(0,((Tabelle14[[#This Row],[Wasser / 100g]]^(1/3.5))*0.95)-2.08)</f>
        <v>3.5446120179203815</v>
      </c>
      <c r="I8" s="6">
        <f>MIN(5,ROUNDUP(Tabelle14[[#This Row],[Wasser Normallisiert]]*2,0)/2)</f>
        <v>4</v>
      </c>
    </row>
    <row r="9" spans="2:9" ht="15" customHeight="1" x14ac:dyDescent="0.25">
      <c r="B9" s="10">
        <v>7</v>
      </c>
      <c r="C9" s="12" t="s">
        <v>152</v>
      </c>
      <c r="D9" s="6">
        <v>219</v>
      </c>
      <c r="E9" s="7">
        <f>((Tabelle14[[#This Row],[CO2 /100g]]^(1/3.3))*0.9)-2.26</f>
        <v>2.3475281662803464</v>
      </c>
      <c r="F9" s="7">
        <f>MIN(5,ROUNDUP(Tabelle14[[#This Row],[CO2 Normallisiert]]*2,0)/2)</f>
        <v>2.5</v>
      </c>
      <c r="G9" s="9">
        <v>153</v>
      </c>
      <c r="H9" s="6">
        <f>MAX(0,((Tabelle14[[#This Row],[Wasser / 100g]]^(1/3.5))*0.95)-2.08)</f>
        <v>1.9187214924992455</v>
      </c>
      <c r="I9" s="9">
        <f>MIN(5,ROUNDUP(Tabelle14[[#This Row],[Wasser Normallisiert]]*2,0)/2)</f>
        <v>2</v>
      </c>
    </row>
    <row r="10" spans="2:9" ht="15" customHeight="1" x14ac:dyDescent="0.25">
      <c r="B10" s="10">
        <v>8</v>
      </c>
      <c r="C10" s="12" t="s">
        <v>153</v>
      </c>
      <c r="D10" s="9">
        <v>321</v>
      </c>
      <c r="E10" s="7">
        <f>((Tabelle14[[#This Row],[CO2 /100g]]^(1/3.3))*0.9)-2.26</f>
        <v>2.9135599857503944</v>
      </c>
      <c r="F10" s="7">
        <f>MIN(5,ROUNDUP(Tabelle14[[#This Row],[CO2 Normallisiert]]*2,0)/2)</f>
        <v>3</v>
      </c>
      <c r="G10" s="9">
        <v>101</v>
      </c>
      <c r="H10" s="6">
        <f>MAX(0,((Tabelle14[[#This Row],[Wasser / 100g]]^(1/3.5))*0.95)-2.08)</f>
        <v>1.4712958589397838</v>
      </c>
      <c r="I10" s="9">
        <f>MIN(5,ROUNDUP(Tabelle14[[#This Row],[Wasser Normallisiert]]*2,0)/2)</f>
        <v>1.5</v>
      </c>
    </row>
    <row r="11" spans="2:9" ht="15" customHeight="1" x14ac:dyDescent="0.25">
      <c r="B11" s="10">
        <v>9</v>
      </c>
      <c r="C11" s="12" t="s">
        <v>154</v>
      </c>
      <c r="D11" s="6">
        <v>153</v>
      </c>
      <c r="E11" s="7">
        <f>((Tabelle14[[#This Row],[CO2 /100g]]^(1/3.3))*0.9)-2.26</f>
        <v>1.8730457794580255</v>
      </c>
      <c r="F11" s="7">
        <f>MIN(5,ROUNDUP(Tabelle14[[#This Row],[CO2 Normallisiert]]*2,0)/2)</f>
        <v>2</v>
      </c>
      <c r="G11" s="9">
        <v>100</v>
      </c>
      <c r="H11" s="6">
        <f>MAX(0,((Tabelle14[[#This Row],[Wasser / 100g]]^(1/3.5))*0.95)-2.08)</f>
        <v>1.4612140342991928</v>
      </c>
      <c r="I11" s="9">
        <f>MIN(5,ROUNDUP(Tabelle14[[#This Row],[Wasser Normallisiert]]*2,0)/2)</f>
        <v>1.5</v>
      </c>
    </row>
    <row r="12" spans="2:9" ht="15" customHeight="1" x14ac:dyDescent="0.25">
      <c r="B12" s="10">
        <v>10</v>
      </c>
      <c r="C12" s="12" t="s">
        <v>155</v>
      </c>
      <c r="D12" s="6">
        <v>377</v>
      </c>
      <c r="E12" s="7">
        <f>((Tabelle14[[#This Row],[CO2 /100g]]^(1/3.3))*0.9)-2.26</f>
        <v>3.1719030444900245</v>
      </c>
      <c r="F12" s="7">
        <f>MIN(5,ROUNDUP(Tabelle14[[#This Row],[CO2 Normallisiert]]*2,0)/2)</f>
        <v>3.5</v>
      </c>
      <c r="G12" s="9">
        <v>382</v>
      </c>
      <c r="H12" s="6">
        <f>MAX(0,((Tabelle14[[#This Row],[Wasser / 100g]]^(1/3.5))*0.95)-2.08)</f>
        <v>3.1134504770234663</v>
      </c>
      <c r="I12" s="9">
        <f>MIN(5,ROUNDUP(Tabelle14[[#This Row],[Wasser Normallisiert]]*2,0)/2)</f>
        <v>3.5</v>
      </c>
    </row>
    <row r="13" spans="2:9" ht="15" customHeight="1" x14ac:dyDescent="0.25">
      <c r="B13" s="10">
        <v>11</v>
      </c>
      <c r="C13" s="12" t="s">
        <v>156</v>
      </c>
      <c r="D13" s="9">
        <v>37</v>
      </c>
      <c r="E13" s="7">
        <f>((Tabelle14[[#This Row],[CO2 /100g]]^(1/3.3))*0.9)-2.26</f>
        <v>0.42816023905632417</v>
      </c>
      <c r="F13" s="7">
        <f>MIN(5,ROUNDUP(Tabelle14[[#This Row],[CO2 Normallisiert]]*2,0)/2)</f>
        <v>0.5</v>
      </c>
      <c r="G13" s="6">
        <v>36</v>
      </c>
      <c r="H13" s="6">
        <f>MAX(0,((Tabelle14[[#This Row],[Wasser / 100g]]^(1/3.5))*0.95)-2.08)</f>
        <v>0.56473073722475364</v>
      </c>
      <c r="I13" s="6">
        <f>MIN(5,ROUNDUP(Tabelle14[[#This Row],[Wasser Normallisiert]]*2,0)/2)</f>
        <v>1</v>
      </c>
    </row>
    <row r="14" spans="2:9" ht="15" customHeight="1" x14ac:dyDescent="0.25">
      <c r="B14" s="10">
        <v>12</v>
      </c>
      <c r="C14" s="12" t="s">
        <v>157</v>
      </c>
      <c r="D14" s="6">
        <v>470</v>
      </c>
      <c r="E14" s="7">
        <f>((Tabelle14[[#This Row],[CO2 /100g]]^(1/3.3))*0.9)-2.26</f>
        <v>3.5472314187461542</v>
      </c>
      <c r="F14" s="7">
        <f>MIN(5,ROUNDUP(Tabelle14[[#This Row],[CO2 Normallisiert]]*2,0)/2)</f>
        <v>4</v>
      </c>
      <c r="G14" s="6">
        <v>344</v>
      </c>
      <c r="H14" s="6">
        <f>MAX(0,((Tabelle14[[#This Row],[Wasser / 100g]]^(1/3.5))*0.95)-2.08)</f>
        <v>2.9602791369343384</v>
      </c>
      <c r="I14" s="6">
        <f>MIN(5,ROUNDUP(Tabelle14[[#This Row],[Wasser Normallisiert]]*2,0)/2)</f>
        <v>3</v>
      </c>
    </row>
    <row r="15" spans="2:9" ht="15" customHeight="1" x14ac:dyDescent="0.25">
      <c r="B15" s="10">
        <v>13</v>
      </c>
      <c r="C15" s="12" t="s">
        <v>158</v>
      </c>
      <c r="D15" s="6">
        <v>277</v>
      </c>
      <c r="E15" s="7">
        <f>((Tabelle14[[#This Row],[CO2 /100g]]^(1/3.3))*0.9)-2.26</f>
        <v>2.6875238222464422</v>
      </c>
      <c r="F15" s="7">
        <f>MIN(5,ROUNDUP(Tabelle14[[#This Row],[CO2 Normallisiert]]*2,0)/2)</f>
        <v>3</v>
      </c>
      <c r="G15" s="6">
        <v>178</v>
      </c>
      <c r="H15" s="6">
        <f>MAX(0,((Tabelle14[[#This Row],[Wasser / 100g]]^(1/3.5))*0.95)-2.08)</f>
        <v>2.0954255924138758</v>
      </c>
      <c r="I15" s="6">
        <f>MIN(5,ROUNDUP(Tabelle14[[#This Row],[Wasser Normallisiert]]*2,0)/2)</f>
        <v>2.5</v>
      </c>
    </row>
    <row r="16" spans="2:9" ht="15" customHeight="1" x14ac:dyDescent="0.25">
      <c r="B16" s="10">
        <v>14</v>
      </c>
      <c r="C16" s="12" t="s">
        <v>159</v>
      </c>
      <c r="D16" s="6">
        <v>453</v>
      </c>
      <c r="E16" s="7">
        <f>((Tabelle14[[#This Row],[CO2 /100g]]^(1/3.3))*0.9)-2.26</f>
        <v>3.4827611337600981</v>
      </c>
      <c r="F16" s="7">
        <f>MIN(5,ROUNDUP(Tabelle14[[#This Row],[CO2 Normallisiert]]*2,0)/2)</f>
        <v>3.5</v>
      </c>
      <c r="G16" s="6">
        <v>152</v>
      </c>
      <c r="H16" s="6">
        <f>MAX(0,((Tabelle14[[#This Row],[Wasser / 100g]]^(1/3.5))*0.95)-2.08)</f>
        <v>1.9112367294874053</v>
      </c>
      <c r="I16" s="6">
        <f>MIN(5,ROUNDUP(Tabelle14[[#This Row],[Wasser Normallisiert]]*2,0)/2)</f>
        <v>2</v>
      </c>
    </row>
    <row r="17" spans="2:9" ht="15" customHeight="1" x14ac:dyDescent="0.25">
      <c r="B17" s="10">
        <v>15</v>
      </c>
      <c r="C17" s="12" t="s">
        <v>160</v>
      </c>
      <c r="D17" s="9">
        <v>53</v>
      </c>
      <c r="E17" s="7">
        <f>((Tabelle14[[#This Row],[CO2 /100g]]^(1/3.3))*0.9)-2.26</f>
        <v>0.73743896584143309</v>
      </c>
      <c r="F17" s="7">
        <f>MIN(5,ROUNDUP(Tabelle14[[#This Row],[CO2 Normallisiert]]*2,0)/2)</f>
        <v>1</v>
      </c>
      <c r="G17" s="6">
        <v>52</v>
      </c>
      <c r="H17" s="6">
        <f>MAX(0,((Tabelle14[[#This Row],[Wasser / 100g]]^(1/3.5))*0.95)-2.08)</f>
        <v>0.85771915413384825</v>
      </c>
      <c r="I17" s="6">
        <f>MIN(5,ROUNDUP(Tabelle14[[#This Row],[Wasser Normallisiert]]*2,0)/2)</f>
        <v>1</v>
      </c>
    </row>
    <row r="18" spans="2:9" ht="15" customHeight="1" x14ac:dyDescent="0.25">
      <c r="B18" s="10">
        <v>16</v>
      </c>
      <c r="C18" s="12" t="s">
        <v>161</v>
      </c>
      <c r="D18" s="6">
        <v>58</v>
      </c>
      <c r="E18" s="7">
        <f>((Tabelle14[[#This Row],[CO2 /100g]]^(1/3.3))*0.9)-2.26</f>
        <v>0.82045329625539631</v>
      </c>
      <c r="F18" s="7">
        <f>MIN(5,ROUNDUP(Tabelle14[[#This Row],[CO2 Normallisiert]]*2,0)/2)</f>
        <v>1</v>
      </c>
      <c r="G18" s="6">
        <v>60</v>
      </c>
      <c r="H18" s="6">
        <f>MAX(0,((Tabelle14[[#This Row],[Wasser / 100g]]^(1/3.5))*0.95)-2.08)</f>
        <v>0.98031985315305681</v>
      </c>
      <c r="I18" s="6">
        <f>MIN(5,ROUNDUP(Tabelle14[[#This Row],[Wasser Normallisiert]]*2,0)/2)</f>
        <v>1</v>
      </c>
    </row>
    <row r="19" spans="2:9" ht="15" customHeight="1" x14ac:dyDescent="0.25">
      <c r="B19" s="10">
        <v>17</v>
      </c>
      <c r="C19" s="12" t="s">
        <v>162</v>
      </c>
      <c r="D19" s="6">
        <v>374</v>
      </c>
      <c r="E19" s="7">
        <f>((Tabelle14[[#This Row],[CO2 /100g]]^(1/3.3))*0.9)-2.26</f>
        <v>3.1587681653874302</v>
      </c>
      <c r="F19" s="7">
        <f>MIN(5,ROUNDUP(Tabelle14[[#This Row],[CO2 Normallisiert]]*2,0)/2)</f>
        <v>3.5</v>
      </c>
      <c r="G19" s="6">
        <v>421</v>
      </c>
      <c r="H19" s="6">
        <f>MAX(0,((Tabelle14[[#This Row],[Wasser / 100g]]^(1/3.5))*0.95)-2.08)</f>
        <v>3.2597200661124655</v>
      </c>
      <c r="I19" s="6">
        <f>MIN(5,ROUNDUP(Tabelle14[[#This Row],[Wasser Normallisiert]]*2,0)/2)</f>
        <v>3.5</v>
      </c>
    </row>
    <row r="20" spans="2:9" ht="15" customHeight="1" x14ac:dyDescent="0.25">
      <c r="B20" s="10">
        <v>18</v>
      </c>
      <c r="C20" s="12" t="s">
        <v>163</v>
      </c>
      <c r="D20" s="8">
        <v>361</v>
      </c>
      <c r="E20" s="7">
        <f>((Tabelle14[[#This Row],[CO2 /100g]]^(1/3.3))*0.9)-2.26</f>
        <v>3.1009862314624783</v>
      </c>
      <c r="F20" s="7">
        <f>MIN(5,ROUNDUP(Tabelle14[[#This Row],[CO2 Normallisiert]]*2,0)/2)</f>
        <v>3.5</v>
      </c>
      <c r="G20" s="8">
        <v>234</v>
      </c>
      <c r="H20" s="8">
        <f>MAX(0,((Tabelle14[[#This Row],[Wasser / 100g]]^(1/3.5))*0.95)-2.08)</f>
        <v>2.4348405987522224</v>
      </c>
      <c r="I20" s="8">
        <f>MIN(5,ROUNDUP(Tabelle14[[#This Row],[Wasser Normallisiert]]*2,0)/2)</f>
        <v>2.5</v>
      </c>
    </row>
    <row r="21" spans="2:9" ht="15" customHeight="1" x14ac:dyDescent="0.25">
      <c r="B21" s="10">
        <v>19</v>
      </c>
      <c r="C21" s="12" t="s">
        <v>164</v>
      </c>
      <c r="D21" s="6">
        <v>297</v>
      </c>
      <c r="E21" s="7">
        <f>((Tabelle14[[#This Row],[CO2 /100g]]^(1/3.3))*0.9)-2.26</f>
        <v>2.7931552983938523</v>
      </c>
      <c r="F21" s="7">
        <f>MIN(5,ROUNDUP(Tabelle14[[#This Row],[CO2 Normallisiert]]*2,0)/2)</f>
        <v>3</v>
      </c>
      <c r="G21" s="6">
        <v>329</v>
      </c>
      <c r="H21" s="6">
        <f>MAX(0,((Tabelle14[[#This Row],[Wasser / 100g]]^(1/3.5))*0.95)-2.08)</f>
        <v>2.8964819508999717</v>
      </c>
      <c r="I21" s="6">
        <f>MIN(5,ROUNDUP(Tabelle14[[#This Row],[Wasser Normallisiert]]*2,0)/2)</f>
        <v>3</v>
      </c>
    </row>
    <row r="22" spans="2:9" ht="15" customHeight="1" x14ac:dyDescent="0.25">
      <c r="B22" s="10">
        <v>20</v>
      </c>
      <c r="C22" s="12" t="s">
        <v>165</v>
      </c>
      <c r="D22" s="6">
        <v>822</v>
      </c>
      <c r="E22" s="7">
        <f>((Tabelle14[[#This Row],[CO2 /100g]]^(1/3.3))*0.9)-2.26</f>
        <v>4.6191851684760863</v>
      </c>
      <c r="F22" s="7">
        <f>MIN(5,ROUNDUP(Tabelle14[[#This Row],[CO2 Normallisiert]]*2,0)/2)</f>
        <v>5</v>
      </c>
      <c r="G22" s="6">
        <v>920</v>
      </c>
      <c r="H22" s="6">
        <f>MAX(0,((Tabelle14[[#This Row],[Wasser / 100g]]^(1/3.5))*0.95)-2.08)</f>
        <v>4.5960584045511723</v>
      </c>
      <c r="I22" s="6">
        <f>MIN(5,ROUNDUP(Tabelle14[[#This Row],[Wasser Normallisiert]]*2,0)/2)</f>
        <v>5</v>
      </c>
    </row>
    <row r="23" spans="2:9" ht="15" customHeight="1" x14ac:dyDescent="0.25">
      <c r="B23" s="10">
        <v>21</v>
      </c>
      <c r="C23" s="12" t="s">
        <v>166</v>
      </c>
      <c r="D23" s="6">
        <v>111</v>
      </c>
      <c r="E23" s="7">
        <f>((Tabelle14[[#This Row],[CO2 /100g]]^(1/3.3))*0.9)-2.26</f>
        <v>1.4900525318450488</v>
      </c>
      <c r="F23" s="7">
        <f>MIN(5,ROUNDUP(Tabelle14[[#This Row],[CO2 Normallisiert]]*2,0)/2)</f>
        <v>1.5</v>
      </c>
      <c r="G23" s="6">
        <v>74</v>
      </c>
      <c r="H23" s="6">
        <f>MAX(0,((Tabelle14[[#This Row],[Wasser / 100g]]^(1/3.5))*0.95)-2.08)</f>
        <v>1.1693000027859672</v>
      </c>
      <c r="I23" s="6">
        <f>MIN(5,ROUNDUP(Tabelle14[[#This Row],[Wasser Normallisiert]]*2,0)/2)</f>
        <v>1.5</v>
      </c>
    </row>
    <row r="24" spans="2:9" ht="15" customHeight="1" x14ac:dyDescent="0.25">
      <c r="B24" s="10">
        <v>22</v>
      </c>
      <c r="C24" s="12" t="s">
        <v>167</v>
      </c>
      <c r="D24" s="6">
        <v>251</v>
      </c>
      <c r="E24" s="7">
        <f>((Tabelle14[[#This Row],[CO2 /100g]]^(1/3.3))*0.9)-2.26</f>
        <v>2.5419359660829768</v>
      </c>
      <c r="F24" s="7">
        <f>MIN(5,ROUNDUP(Tabelle14[[#This Row],[CO2 Normallisiert]]*2,0)/2)</f>
        <v>3</v>
      </c>
      <c r="G24" s="6">
        <v>280</v>
      </c>
      <c r="H24" s="6">
        <f>MAX(0,((Tabelle14[[#This Row],[Wasser / 100g]]^(1/3.5))*0.95)-2.08)</f>
        <v>2.6723849759300986</v>
      </c>
      <c r="I24" s="6">
        <f>MIN(5,ROUNDUP(Tabelle14[[#This Row],[Wasser Normallisiert]]*2,0)/2)</f>
        <v>3</v>
      </c>
    </row>
    <row r="25" spans="2:9" ht="15" customHeight="1" x14ac:dyDescent="0.25">
      <c r="B25" s="10">
        <v>23</v>
      </c>
      <c r="C25" s="12" t="s">
        <v>168</v>
      </c>
      <c r="D25" s="6">
        <v>423</v>
      </c>
      <c r="E25" s="7">
        <f>((Tabelle14[[#This Row],[CO2 /100g]]^(1/3.3))*0.9)-2.26</f>
        <v>3.3647500317080405</v>
      </c>
      <c r="F25" s="7">
        <f>MIN(5,ROUNDUP(Tabelle14[[#This Row],[CO2 Normallisiert]]*2,0)/2)</f>
        <v>3.5</v>
      </c>
      <c r="G25" s="6">
        <v>92</v>
      </c>
      <c r="H25" s="6">
        <f>MAX(0,((Tabelle14[[#This Row],[Wasser / 100g]]^(1/3.5))*0.95)-2.08)</f>
        <v>1.3778475463441517</v>
      </c>
      <c r="I25" s="6">
        <f>MIN(5,ROUNDUP(Tabelle14[[#This Row],[Wasser Normallisiert]]*2,0)/2)</f>
        <v>1.5</v>
      </c>
    </row>
    <row r="26" spans="2:9" ht="15" customHeight="1" x14ac:dyDescent="0.25">
      <c r="B26" s="10">
        <v>24</v>
      </c>
      <c r="C26" s="12" t="s">
        <v>169</v>
      </c>
      <c r="D26" s="6">
        <v>68</v>
      </c>
      <c r="E26" s="7">
        <f>((Tabelle14[[#This Row],[CO2 /100g]]^(1/3.3))*0.9)-2.26</f>
        <v>0.97257225111482404</v>
      </c>
      <c r="F26" s="7">
        <f>MIN(5,ROUNDUP(Tabelle14[[#This Row],[CO2 Normallisiert]]*2,0)/2)</f>
        <v>1</v>
      </c>
      <c r="G26" s="6">
        <v>54</v>
      </c>
      <c r="H26" s="6">
        <f>MAX(0,((Tabelle14[[#This Row],[Wasser / 100g]]^(1/3.5))*0.95)-2.08)</f>
        <v>0.88956783819604412</v>
      </c>
      <c r="I26" s="6">
        <f>MIN(5,ROUNDUP(Tabelle14[[#This Row],[Wasser Normallisiert]]*2,0)/2)</f>
        <v>1</v>
      </c>
    </row>
    <row r="27" spans="2:9" ht="15" customHeight="1" x14ac:dyDescent="0.25">
      <c r="B27" s="10">
        <v>25</v>
      </c>
      <c r="C27" s="12" t="s">
        <v>170</v>
      </c>
      <c r="D27" s="6">
        <v>147</v>
      </c>
      <c r="E27" s="7">
        <f>((Tabelle14[[#This Row],[CO2 /100g]]^(1/3.3))*0.9)-2.26</f>
        <v>1.82324405240331</v>
      </c>
      <c r="F27" s="7">
        <f>MIN(5,ROUNDUP(Tabelle14[[#This Row],[CO2 Normallisiert]]*2,0)/2)</f>
        <v>2</v>
      </c>
      <c r="G27" s="6">
        <v>186</v>
      </c>
      <c r="H27" s="6">
        <f>MAX(0,((Tabelle14[[#This Row],[Wasser / 100g]]^(1/3.5))*0.95)-2.08)</f>
        <v>2.1482034385314623</v>
      </c>
      <c r="I27" s="6">
        <f>MIN(5,ROUNDUP(Tabelle14[[#This Row],[Wasser Normallisiert]]*2,0)/2)</f>
        <v>2.5</v>
      </c>
    </row>
    <row r="28" spans="2:9" ht="15" customHeight="1" x14ac:dyDescent="0.25">
      <c r="B28" s="10">
        <v>26</v>
      </c>
      <c r="C28" s="12" t="s">
        <v>171</v>
      </c>
      <c r="D28" s="6">
        <v>161</v>
      </c>
      <c r="E28" s="7">
        <f>((Tabelle14[[#This Row],[CO2 /100g]]^(1/3.3))*0.9)-2.26</f>
        <v>1.9373735686429683</v>
      </c>
      <c r="F28" s="7">
        <f>MIN(5,ROUNDUP(Tabelle14[[#This Row],[CO2 Normallisiert]]*2,0)/2)</f>
        <v>2</v>
      </c>
      <c r="G28" s="6">
        <v>220</v>
      </c>
      <c r="H28" s="6">
        <f>MAX(0,((Tabelle14[[#This Row],[Wasser / 100g]]^(1/3.5))*0.95)-2.08)</f>
        <v>2.3559559859570429</v>
      </c>
      <c r="I28" s="6">
        <f>MIN(5,ROUNDUP(Tabelle14[[#This Row],[Wasser Normallisiert]]*2,0)/2)</f>
        <v>2.5</v>
      </c>
    </row>
    <row r="29" spans="2:9" ht="15" customHeight="1" x14ac:dyDescent="0.25">
      <c r="B29" s="10">
        <v>27</v>
      </c>
      <c r="C29" s="12" t="s">
        <v>172</v>
      </c>
      <c r="D29" s="6">
        <v>393</v>
      </c>
      <c r="E29" s="7">
        <f>((Tabelle14[[#This Row],[CO2 /100g]]^(1/3.3))*0.9)-2.26</f>
        <v>3.2407520610991742</v>
      </c>
      <c r="F29" s="7">
        <f>MIN(5,ROUNDUP(Tabelle14[[#This Row],[CO2 Normallisiert]]*2,0)/2)</f>
        <v>3.5</v>
      </c>
      <c r="G29" s="6">
        <v>528</v>
      </c>
      <c r="H29" s="6">
        <f>MAX(0,((Tabelle14[[#This Row],[Wasser / 100g]]^(1/3.5))*0.95)-2.08)</f>
        <v>3.6166431048820851</v>
      </c>
      <c r="I29" s="6">
        <f>MIN(5,ROUNDUP(Tabelle14[[#This Row],[Wasser Normallisiert]]*2,0)/2)</f>
        <v>4</v>
      </c>
    </row>
    <row r="30" spans="2:9" ht="15" customHeight="1" x14ac:dyDescent="0.25">
      <c r="B30" s="10">
        <v>28</v>
      </c>
      <c r="C30" s="12" t="s">
        <v>173</v>
      </c>
      <c r="D30" s="6">
        <v>409</v>
      </c>
      <c r="E30" s="7">
        <f>((Tabelle14[[#This Row],[CO2 /100g]]^(1/3.3))*0.9)-2.26</f>
        <v>3.3076742112835289</v>
      </c>
      <c r="F30" s="7">
        <f>MIN(5,ROUNDUP(Tabelle14[[#This Row],[CO2 Normallisiert]]*2,0)/2)</f>
        <v>3.5</v>
      </c>
      <c r="G30" s="6">
        <v>447</v>
      </c>
      <c r="H30" s="6">
        <f>MAX(0,((Tabelle14[[#This Row],[Wasser / 100g]]^(1/3.5))*0.95)-2.08)</f>
        <v>3.3519320202797225</v>
      </c>
      <c r="I30" s="6">
        <f>MIN(5,ROUNDUP(Tabelle14[[#This Row],[Wasser Normallisiert]]*2,0)/2)</f>
        <v>3.5</v>
      </c>
    </row>
    <row r="31" spans="2:9" ht="15" customHeight="1" x14ac:dyDescent="0.25">
      <c r="B31" s="10">
        <v>29</v>
      </c>
      <c r="C31" s="12" t="s">
        <v>174</v>
      </c>
      <c r="D31" s="6">
        <v>81</v>
      </c>
      <c r="E31" s="7">
        <f>((Tabelle14[[#This Row],[CO2 /100g]]^(1/3.3))*0.9)-2.26</f>
        <v>1.1485628243914392</v>
      </c>
      <c r="F31" s="7">
        <f>MIN(5,ROUNDUP(Tabelle14[[#This Row],[CO2 Normallisiert]]*2,0)/2)</f>
        <v>1.5</v>
      </c>
      <c r="G31" s="6">
        <v>122</v>
      </c>
      <c r="H31" s="6">
        <f>MAX(0,((Tabelle14[[#This Row],[Wasser / 100g]]^(1/3.5))*0.95)-2.08)</f>
        <v>1.6682315682955657</v>
      </c>
      <c r="I31" s="6">
        <f>MIN(5,ROUNDUP(Tabelle14[[#This Row],[Wasser Normallisiert]]*2,0)/2)</f>
        <v>2</v>
      </c>
    </row>
    <row r="32" spans="2:9" ht="15" customHeight="1" x14ac:dyDescent="0.25">
      <c r="B32" s="10">
        <v>30</v>
      </c>
      <c r="C32" s="12" t="s">
        <v>175</v>
      </c>
      <c r="D32" s="6">
        <v>25</v>
      </c>
      <c r="E32" s="7">
        <f>((Tabelle14[[#This Row],[CO2 /100g]]^(1/3.3))*0.9)-2.26</f>
        <v>0.1270454814056321</v>
      </c>
      <c r="F32" s="7">
        <f>MIN(5,ROUNDUP(Tabelle14[[#This Row],[CO2 Normallisiert]]*2,0)/2)</f>
        <v>0.5</v>
      </c>
      <c r="G32" s="6">
        <v>29</v>
      </c>
      <c r="H32" s="6">
        <f>MAX(0,((Tabelle14[[#This Row],[Wasser / 100g]]^(1/3.5))*0.95)-2.08)</f>
        <v>0.40628897794214458</v>
      </c>
      <c r="I32" s="6">
        <f>MIN(5,ROUNDUP(Tabelle14[[#This Row],[Wasser Normallisiert]]*2,0)/2)</f>
        <v>0.5</v>
      </c>
    </row>
    <row r="33" spans="2:9" ht="15" customHeight="1" x14ac:dyDescent="0.25">
      <c r="B33" s="10">
        <v>31</v>
      </c>
      <c r="C33" s="12" t="s">
        <v>176</v>
      </c>
      <c r="D33" s="6">
        <v>146</v>
      </c>
      <c r="E33" s="7">
        <f>((Tabelle14[[#This Row],[CO2 /100g]]^(1/3.3))*0.9)-2.26</f>
        <v>1.8148066964034726</v>
      </c>
      <c r="F33" s="7">
        <f>MIN(5,ROUNDUP(Tabelle14[[#This Row],[CO2 Normallisiert]]*2,0)/2)</f>
        <v>2</v>
      </c>
      <c r="G33" s="6">
        <v>137</v>
      </c>
      <c r="H33" s="6">
        <f>MAX(0,((Tabelle14[[#This Row],[Wasser / 100g]]^(1/3.5))*0.95)-2.08)</f>
        <v>1.7944958129908057</v>
      </c>
      <c r="I33" s="6">
        <f>MIN(5,ROUNDUP(Tabelle14[[#This Row],[Wasser Normallisiert]]*2,0)/2)</f>
        <v>2</v>
      </c>
    </row>
    <row r="34" spans="2:9" ht="15" customHeight="1" x14ac:dyDescent="0.25">
      <c r="B34" s="10">
        <v>32</v>
      </c>
      <c r="C34" s="12" t="s">
        <v>177</v>
      </c>
      <c r="D34" s="6">
        <v>182</v>
      </c>
      <c r="E34" s="7">
        <f>((Tabelle14[[#This Row],[CO2 /100g]]^(1/3.3))*0.9)-2.26</f>
        <v>2.0962483105249579</v>
      </c>
      <c r="F34" s="7">
        <f>MIN(5,ROUNDUP(Tabelle14[[#This Row],[CO2 Normallisiert]]*2,0)/2)</f>
        <v>2.5</v>
      </c>
      <c r="G34" s="6">
        <v>142</v>
      </c>
      <c r="H34" s="6">
        <f>MAX(0,((Tabelle14[[#This Row],[Wasser / 100g]]^(1/3.5))*0.95)-2.08)</f>
        <v>1.8343813381649823</v>
      </c>
      <c r="I34" s="6">
        <f>MIN(5,ROUNDUP(Tabelle14[[#This Row],[Wasser Normallisiert]]*2,0)/2)</f>
        <v>2</v>
      </c>
    </row>
    <row r="35" spans="2:9" ht="15" customHeight="1" x14ac:dyDescent="0.25">
      <c r="B35" s="10">
        <v>33</v>
      </c>
      <c r="C35" s="12" t="s">
        <v>178</v>
      </c>
      <c r="D35" s="6">
        <v>352</v>
      </c>
      <c r="E35" s="7">
        <f>((Tabelle14[[#This Row],[CO2 /100g]]^(1/3.3))*0.9)-2.26</f>
        <v>3.0601282826430269</v>
      </c>
      <c r="F35" s="7">
        <f>MIN(5,ROUNDUP(Tabelle14[[#This Row],[CO2 Normallisiert]]*2,0)/2)</f>
        <v>3.5</v>
      </c>
      <c r="G35" s="6">
        <v>233</v>
      </c>
      <c r="H35" s="6">
        <f>MAX(0,((Tabelle14[[#This Row],[Wasser / 100g]]^(1/3.5))*0.95)-2.08)</f>
        <v>2.4293195386089161</v>
      </c>
      <c r="I35" s="6">
        <f>MIN(5,ROUNDUP(Tabelle14[[#This Row],[Wasser Normallisiert]]*2,0)/2)</f>
        <v>2.5</v>
      </c>
    </row>
    <row r="36" spans="2:9" ht="15" customHeight="1" x14ac:dyDescent="0.25">
      <c r="B36" s="10">
        <v>34</v>
      </c>
      <c r="C36" s="12" t="s">
        <v>179</v>
      </c>
      <c r="D36" s="6">
        <v>117</v>
      </c>
      <c r="E36" s="7">
        <f>((Tabelle14[[#This Row],[CO2 /100g]]^(1/3.3))*0.9)-2.26</f>
        <v>1.5503555114865457</v>
      </c>
      <c r="F36" s="7">
        <f>MIN(5,ROUNDUP(Tabelle14[[#This Row],[CO2 Normallisiert]]*2,0)/2)</f>
        <v>2</v>
      </c>
      <c r="G36" s="6">
        <v>86</v>
      </c>
      <c r="H36" s="6">
        <f>MAX(0,((Tabelle14[[#This Row],[Wasser / 100g]]^(1/3.5))*0.95)-2.08)</f>
        <v>1.3118563306603859</v>
      </c>
      <c r="I36" s="6">
        <f>MIN(5,ROUNDUP(Tabelle14[[#This Row],[Wasser Normallisiert]]*2,0)/2)</f>
        <v>1.5</v>
      </c>
    </row>
    <row r="37" spans="2:9" ht="15" customHeight="1" x14ac:dyDescent="0.25">
      <c r="B37" s="10">
        <v>35</v>
      </c>
      <c r="C37" s="12" t="s">
        <v>180</v>
      </c>
      <c r="D37" s="6">
        <v>117</v>
      </c>
      <c r="E37" s="7">
        <f>((Tabelle14[[#This Row],[CO2 /100g]]^(1/3.3))*0.9)-2.26</f>
        <v>1.5503555114865457</v>
      </c>
      <c r="F37" s="7">
        <f>MIN(5,ROUNDUP(Tabelle14[[#This Row],[CO2 Normallisiert]]*2,0)/2)</f>
        <v>2</v>
      </c>
      <c r="G37" s="9">
        <v>98</v>
      </c>
      <c r="H37" s="6">
        <f>MAX(0,((Tabelle14[[#This Row],[Wasser / 100g]]^(1/3.5))*0.95)-2.08)</f>
        <v>1.4408323115484225</v>
      </c>
      <c r="I37" s="9">
        <f>MIN(5,ROUNDUP(Tabelle14[[#This Row],[Wasser Normallisiert]]*2,0)/2)</f>
        <v>1.5</v>
      </c>
    </row>
    <row r="38" spans="2:9" ht="15" customHeight="1" x14ac:dyDescent="0.25">
      <c r="B38" s="10">
        <v>36</v>
      </c>
      <c r="C38" s="12" t="s">
        <v>181</v>
      </c>
      <c r="D38" s="6">
        <v>92</v>
      </c>
      <c r="E38" s="7">
        <f>((Tabelle14[[#This Row],[CO2 /100g]]^(1/3.3))*0.9)-2.26</f>
        <v>1.282662089030072</v>
      </c>
      <c r="F38" s="7">
        <f>MIN(5,ROUNDUP(Tabelle14[[#This Row],[CO2 Normallisiert]]*2,0)/2)</f>
        <v>1.5</v>
      </c>
      <c r="G38" s="6">
        <v>58</v>
      </c>
      <c r="H38" s="6">
        <f>MAX(0,((Tabelle14[[#This Row],[Wasser / 100g]]^(1/3.5))*0.95)-2.08)</f>
        <v>0.95082021240956349</v>
      </c>
      <c r="I38" s="6">
        <f>MIN(5,ROUNDUP(Tabelle14[[#This Row],[Wasser Normallisiert]]*2,0)/2)</f>
        <v>1</v>
      </c>
    </row>
    <row r="39" spans="2:9" ht="15" customHeight="1" x14ac:dyDescent="0.25">
      <c r="B39" s="10">
        <v>37</v>
      </c>
      <c r="C39" s="12" t="s">
        <v>182</v>
      </c>
      <c r="D39" s="6">
        <v>243</v>
      </c>
      <c r="E39" s="7">
        <f>((Tabelle14[[#This Row],[CO2 /100g]]^(1/3.3))*0.9)-2.26</f>
        <v>2.4950326293231813</v>
      </c>
      <c r="F39" s="7">
        <f>MIN(5,ROUNDUP(Tabelle14[[#This Row],[CO2 Normallisiert]]*2,0)/2)</f>
        <v>2.5</v>
      </c>
      <c r="G39" s="6">
        <v>298</v>
      </c>
      <c r="H39" s="6">
        <f>MAX(0,((Tabelle14[[#This Row],[Wasser / 100g]]^(1/3.5))*0.95)-2.08)</f>
        <v>2.757740155913126</v>
      </c>
      <c r="I39" s="6">
        <f>MIN(5,ROUNDUP(Tabelle14[[#This Row],[Wasser Normallisiert]]*2,0)/2)</f>
        <v>3</v>
      </c>
    </row>
    <row r="40" spans="2:9" ht="15" customHeight="1" x14ac:dyDescent="0.25">
      <c r="B40" s="10">
        <v>38</v>
      </c>
      <c r="C40" s="12" t="s">
        <v>183</v>
      </c>
      <c r="D40" s="6">
        <v>157</v>
      </c>
      <c r="E40" s="7">
        <f>((Tabelle14[[#This Row],[CO2 /100g]]^(1/3.3))*0.9)-2.26</f>
        <v>1.9054952784073569</v>
      </c>
      <c r="F40" s="7">
        <f>MIN(5,ROUNDUP(Tabelle14[[#This Row],[CO2 Normallisiert]]*2,0)/2)</f>
        <v>2</v>
      </c>
      <c r="G40" s="6">
        <v>249</v>
      </c>
      <c r="H40" s="6">
        <f>MAX(0,((Tabelle14[[#This Row],[Wasser / 100g]]^(1/3.5))*0.95)-2.08)</f>
        <v>2.5157033786838552</v>
      </c>
      <c r="I40" s="6">
        <f>MIN(5,ROUNDUP(Tabelle14[[#This Row],[Wasser Normallisiert]]*2,0)/2)</f>
        <v>3</v>
      </c>
    </row>
    <row r="41" spans="2:9" ht="15" customHeight="1" x14ac:dyDescent="0.25">
      <c r="B41" s="10">
        <v>39</v>
      </c>
      <c r="C41" s="12" t="s">
        <v>184</v>
      </c>
      <c r="D41" s="6">
        <v>162</v>
      </c>
      <c r="E41" s="7">
        <f>((Tabelle14[[#This Row],[CO2 /100g]]^(1/3.3))*0.9)-2.26</f>
        <v>1.9452567234168869</v>
      </c>
      <c r="F41" s="7">
        <f>MIN(5,ROUNDUP(Tabelle14[[#This Row],[CO2 Normallisiert]]*2,0)/2)</f>
        <v>2</v>
      </c>
      <c r="G41" s="6">
        <v>168</v>
      </c>
      <c r="H41" s="6">
        <f>MAX(0,((Tabelle14[[#This Row],[Wasser / 100g]]^(1/3.5))*0.95)-2.08)</f>
        <v>2.0270146991393085</v>
      </c>
      <c r="I41" s="6">
        <f>MIN(5,ROUNDUP(Tabelle14[[#This Row],[Wasser Normallisiert]]*2,0)/2)</f>
        <v>2.5</v>
      </c>
    </row>
    <row r="42" spans="2:9" ht="15" customHeight="1" x14ac:dyDescent="0.25">
      <c r="B42" s="10">
        <v>40</v>
      </c>
      <c r="C42" s="12" t="s">
        <v>185</v>
      </c>
      <c r="D42" s="6">
        <v>162</v>
      </c>
      <c r="E42" s="7">
        <f>((Tabelle14[[#This Row],[CO2 /100g]]^(1/3.3))*0.9)-2.26</f>
        <v>1.9452567234168869</v>
      </c>
      <c r="F42" s="7">
        <f>MIN(5,ROUNDUP(Tabelle14[[#This Row],[CO2 Normallisiert]]*2,0)/2)</f>
        <v>2</v>
      </c>
      <c r="G42" s="6">
        <v>236</v>
      </c>
      <c r="H42" s="6">
        <f>MAX(0,((Tabelle14[[#This Row],[Wasser / 100g]]^(1/3.5))*0.95)-2.08)</f>
        <v>2.4458323593269649</v>
      </c>
      <c r="I42" s="6">
        <f>MIN(5,ROUNDUP(Tabelle14[[#This Row],[Wasser Normallisiert]]*2,0)/2)</f>
        <v>2.5</v>
      </c>
    </row>
    <row r="43" spans="2:9" ht="15" customHeight="1" x14ac:dyDescent="0.25">
      <c r="B43" s="10">
        <v>41</v>
      </c>
      <c r="C43" s="12" t="s">
        <v>186</v>
      </c>
      <c r="D43" s="6">
        <v>62</v>
      </c>
      <c r="E43" s="7">
        <f>((Tabelle14[[#This Row],[CO2 /100g]]^(1/3.3))*0.9)-2.26</f>
        <v>0.88334106503729437</v>
      </c>
      <c r="F43" s="7">
        <f>MIN(5,ROUNDUP(Tabelle14[[#This Row],[CO2 Normallisiert]]*2,0)/2)</f>
        <v>1</v>
      </c>
      <c r="G43" s="6">
        <v>47</v>
      </c>
      <c r="H43" s="6">
        <f>MAX(0,((Tabelle14[[#This Row],[Wasser / 100g]]^(1/3.5))*0.95)-2.08)</f>
        <v>0.77407808215564744</v>
      </c>
      <c r="I43" s="6">
        <f>MIN(5,ROUNDUP(Tabelle14[[#This Row],[Wasser Normallisiert]]*2,0)/2)</f>
        <v>1</v>
      </c>
    </row>
    <row r="44" spans="2:9" ht="15" customHeight="1" x14ac:dyDescent="0.25">
      <c r="B44" s="10">
        <v>42</v>
      </c>
      <c r="C44" s="12" t="s">
        <v>187</v>
      </c>
      <c r="D44" s="6">
        <v>914</v>
      </c>
      <c r="E44" s="7">
        <f>((Tabelle14[[#This Row],[CO2 /100g]]^(1/3.3))*0.9)-2.26</f>
        <v>4.8439342366534843</v>
      </c>
      <c r="F44" s="7">
        <f>MIN(5,ROUNDUP(Tabelle14[[#This Row],[CO2 Normallisiert]]*2,0)/2)</f>
        <v>5</v>
      </c>
      <c r="G44" s="6">
        <v>676</v>
      </c>
      <c r="H44" s="6">
        <f>MAX(0,((Tabelle14[[#This Row],[Wasser / 100g]]^(1/3.5))*0.95)-2.08)</f>
        <v>4.0333576506947706</v>
      </c>
      <c r="I44" s="6">
        <f>MIN(5,ROUNDUP(Tabelle14[[#This Row],[Wasser Normallisiert]]*2,0)/2)</f>
        <v>4.5</v>
      </c>
    </row>
    <row r="45" spans="2:9" ht="15" customHeight="1" x14ac:dyDescent="0.25">
      <c r="B45" s="10">
        <v>43</v>
      </c>
      <c r="C45" s="12" t="s">
        <v>188</v>
      </c>
      <c r="D45" s="6">
        <v>61</v>
      </c>
      <c r="E45" s="7">
        <f>((Tabelle14[[#This Row],[CO2 /100g]]^(1/3.3))*0.9)-2.26</f>
        <v>0.86789056707917833</v>
      </c>
      <c r="F45" s="7">
        <f>MIN(5,ROUNDUP(Tabelle14[[#This Row],[CO2 Normallisiert]]*2,0)/2)</f>
        <v>1</v>
      </c>
      <c r="G45" s="6">
        <v>58</v>
      </c>
      <c r="H45" s="6">
        <f>MAX(0,((Tabelle14[[#This Row],[Wasser / 100g]]^(1/3.5))*0.95)-2.08)</f>
        <v>0.95082021240956349</v>
      </c>
      <c r="I45" s="6">
        <f>MIN(5,ROUNDUP(Tabelle14[[#This Row],[Wasser Normallisiert]]*2,0)/2)</f>
        <v>1</v>
      </c>
    </row>
    <row r="46" spans="2:9" ht="15" customHeight="1" x14ac:dyDescent="0.25">
      <c r="B46" s="10">
        <v>44</v>
      </c>
      <c r="C46" s="12" t="s">
        <v>189</v>
      </c>
      <c r="D46" s="6">
        <v>417</v>
      </c>
      <c r="E46" s="7">
        <f>((Tabelle14[[#This Row],[CO2 /100g]]^(1/3.3))*0.9)-2.26</f>
        <v>3.3404526808593982</v>
      </c>
      <c r="F46" s="7">
        <f>MIN(5,ROUNDUP(Tabelle14[[#This Row],[CO2 Normallisiert]]*2,0)/2)</f>
        <v>3.5</v>
      </c>
      <c r="G46" s="6">
        <v>150</v>
      </c>
      <c r="H46" s="6">
        <f>MAX(0,((Tabelle14[[#This Row],[Wasser / 100g]]^(1/3.5))*0.95)-2.08)</f>
        <v>1.8961610346231956</v>
      </c>
      <c r="I46" s="6">
        <f>MIN(5,ROUNDUP(Tabelle14[[#This Row],[Wasser Normallisiert]]*2,0)/2)</f>
        <v>2</v>
      </c>
    </row>
    <row r="47" spans="2:9" ht="15" customHeight="1" x14ac:dyDescent="0.25">
      <c r="B47" s="10">
        <v>45</v>
      </c>
      <c r="C47" s="12" t="s">
        <v>190</v>
      </c>
      <c r="D47" s="6">
        <v>335</v>
      </c>
      <c r="E47" s="7">
        <f>((Tabelle14[[#This Row],[CO2 /100g]]^(1/3.3))*0.9)-2.26</f>
        <v>2.9809208690382984</v>
      </c>
      <c r="F47" s="7">
        <f>MIN(5,ROUNDUP(Tabelle14[[#This Row],[CO2 Normallisiert]]*2,0)/2)</f>
        <v>3</v>
      </c>
      <c r="G47" s="6">
        <v>218</v>
      </c>
      <c r="H47" s="6">
        <f>MAX(0,((Tabelle14[[#This Row],[Wasser / 100g]]^(1/3.5))*0.95)-2.08)</f>
        <v>2.3443964178451431</v>
      </c>
      <c r="I47" s="6">
        <f>MIN(5,ROUNDUP(Tabelle14[[#This Row],[Wasser Normallisiert]]*2,0)/2)</f>
        <v>2.5</v>
      </c>
    </row>
    <row r="48" spans="2:9" ht="15" customHeight="1" x14ac:dyDescent="0.25">
      <c r="B48" s="10">
        <v>46</v>
      </c>
      <c r="C48" s="12" t="s">
        <v>191</v>
      </c>
      <c r="D48" s="6">
        <v>291</v>
      </c>
      <c r="E48" s="7">
        <f>((Tabelle14[[#This Row],[CO2 /100g]]^(1/3.3))*0.9)-2.26</f>
        <v>2.7620004642669818</v>
      </c>
      <c r="F48" s="7">
        <f>MIN(5,ROUNDUP(Tabelle14[[#This Row],[CO2 Normallisiert]]*2,0)/2)</f>
        <v>3</v>
      </c>
      <c r="G48" s="6">
        <v>184</v>
      </c>
      <c r="H48" s="6">
        <f>MAX(0,((Tabelle14[[#This Row],[Wasser / 100g]]^(1/3.5))*0.95)-2.08)</f>
        <v>2.1351633731509629</v>
      </c>
      <c r="I48" s="6">
        <f>MIN(5,ROUNDUP(Tabelle14[[#This Row],[Wasser Normallisiert]]*2,0)/2)</f>
        <v>2.5</v>
      </c>
    </row>
    <row r="49" spans="2:9" ht="15" customHeight="1" x14ac:dyDescent="0.25">
      <c r="B49" s="10">
        <v>47</v>
      </c>
      <c r="C49" s="12" t="s">
        <v>192</v>
      </c>
      <c r="D49" s="6">
        <v>269</v>
      </c>
      <c r="E49" s="7">
        <f>((Tabelle14[[#This Row],[CO2 /100g]]^(1/3.3))*0.9)-2.26</f>
        <v>2.6437811415024193</v>
      </c>
      <c r="F49" s="7">
        <f>MIN(5,ROUNDUP(Tabelle14[[#This Row],[CO2 Normallisiert]]*2,0)/2)</f>
        <v>3</v>
      </c>
      <c r="G49" s="6">
        <v>241</v>
      </c>
      <c r="H49" s="6">
        <f>MAX(0,((Tabelle14[[#This Row],[Wasser / 100g]]^(1/3.5))*0.95)-2.08)</f>
        <v>2.4730236182934187</v>
      </c>
      <c r="I49" s="6">
        <f>MIN(5,ROUNDUP(Tabelle14[[#This Row],[Wasser Normallisiert]]*2,0)/2)</f>
        <v>2.5</v>
      </c>
    </row>
    <row r="50" spans="2:9" ht="15" customHeight="1" x14ac:dyDescent="0.25">
      <c r="B50" s="10">
        <v>48</v>
      </c>
      <c r="C50" s="12" t="s">
        <v>193</v>
      </c>
      <c r="D50" s="6">
        <v>439</v>
      </c>
      <c r="E50" s="7">
        <f>((Tabelle14[[#This Row],[CO2 /100g]]^(1/3.3))*0.9)-2.26</f>
        <v>3.4283896002356649</v>
      </c>
      <c r="F50" s="7">
        <f>MIN(5,ROUNDUP(Tabelle14[[#This Row],[CO2 Normallisiert]]*2,0)/2)</f>
        <v>3.5</v>
      </c>
      <c r="G50" s="6">
        <v>487</v>
      </c>
      <c r="H50" s="6">
        <f>MAX(0,((Tabelle14[[#This Row],[Wasser / 100g]]^(1/3.5))*0.95)-2.08)</f>
        <v>3.4865872787490026</v>
      </c>
      <c r="I50" s="6">
        <f>MIN(5,ROUNDUP(Tabelle14[[#This Row],[Wasser Normallisiert]]*2,0)/2)</f>
        <v>3.5</v>
      </c>
    </row>
    <row r="51" spans="2:9" ht="15" customHeight="1" x14ac:dyDescent="0.25">
      <c r="B51" s="10">
        <v>49</v>
      </c>
      <c r="C51" s="12" t="s">
        <v>194</v>
      </c>
      <c r="D51" s="6">
        <v>143</v>
      </c>
      <c r="E51" s="7">
        <f>((Tabelle14[[#This Row],[CO2 /100g]]^(1/3.3))*0.9)-2.26</f>
        <v>1.7892504768307056</v>
      </c>
      <c r="F51" s="7">
        <f>MIN(5,ROUNDUP(Tabelle14[[#This Row],[CO2 Normallisiert]]*2,0)/2)</f>
        <v>2</v>
      </c>
      <c r="G51" s="6">
        <v>147</v>
      </c>
      <c r="H51" s="6">
        <f>MAX(0,((Tabelle14[[#This Row],[Wasser / 100g]]^(1/3.5))*0.95)-2.08)</f>
        <v>1.8732759418174041</v>
      </c>
      <c r="I51" s="6">
        <f>MIN(5,ROUNDUP(Tabelle14[[#This Row],[Wasser Normallisiert]]*2,0)/2)</f>
        <v>2</v>
      </c>
    </row>
    <row r="52" spans="2:9" ht="15" customHeight="1" x14ac:dyDescent="0.25">
      <c r="B52" s="10">
        <v>50</v>
      </c>
      <c r="C52" s="12" t="s">
        <v>195</v>
      </c>
      <c r="D52" s="6">
        <v>205</v>
      </c>
      <c r="E52" s="7">
        <f>((Tabelle14[[#This Row],[CO2 /100g]]^(1/3.3))*0.9)-2.26</f>
        <v>2.2562084862522038</v>
      </c>
      <c r="F52" s="7">
        <f>MIN(5,ROUNDUP(Tabelle14[[#This Row],[CO2 Normallisiert]]*2,0)/2)</f>
        <v>2.5</v>
      </c>
      <c r="G52" s="6">
        <v>214</v>
      </c>
      <c r="H52" s="6">
        <f>MAX(0,((Tabelle14[[#This Row],[Wasser / 100g]]^(1/3.5))*0.95)-2.08)</f>
        <v>2.3210480683165677</v>
      </c>
      <c r="I52" s="6">
        <f>MIN(5,ROUNDUP(Tabelle14[[#This Row],[Wasser Normallisiert]]*2,0)/2)</f>
        <v>2.5</v>
      </c>
    </row>
    <row r="53" spans="2:9" ht="15" customHeight="1" x14ac:dyDescent="0.25">
      <c r="B53" s="10">
        <v>51</v>
      </c>
      <c r="C53" s="12" t="s">
        <v>196</v>
      </c>
      <c r="D53" s="6">
        <v>300</v>
      </c>
      <c r="E53" s="7">
        <f>((Tabelle14[[#This Row],[CO2 /100g]]^(1/3.3))*0.9)-2.26</f>
        <v>2.8085684263059543</v>
      </c>
      <c r="F53" s="7">
        <f>MIN(5,ROUNDUP(Tabelle14[[#This Row],[CO2 Normallisiert]]*2,0)/2)</f>
        <v>3</v>
      </c>
      <c r="G53" s="6">
        <v>109</v>
      </c>
      <c r="H53" s="6">
        <f>MAX(0,((Tabelle14[[#This Row],[Wasser / 100g]]^(1/3.5))*0.95)-2.08)</f>
        <v>1.5494888105519129</v>
      </c>
      <c r="I53" s="6">
        <f>MIN(5,ROUNDUP(Tabelle14[[#This Row],[Wasser Normallisiert]]*2,0)/2)</f>
        <v>2</v>
      </c>
    </row>
    <row r="54" spans="2:9" ht="15" customHeight="1" x14ac:dyDescent="0.25">
      <c r="B54" s="10">
        <v>52</v>
      </c>
      <c r="C54" s="12" t="s">
        <v>197</v>
      </c>
      <c r="D54" s="6">
        <v>159</v>
      </c>
      <c r="E54" s="7">
        <f>((Tabelle14[[#This Row],[CO2 /100g]]^(1/3.3))*0.9)-2.26</f>
        <v>1.9215042941229772</v>
      </c>
      <c r="F54" s="7">
        <f>MIN(5,ROUNDUP(Tabelle14[[#This Row],[CO2 Normallisiert]]*2,0)/2)</f>
        <v>2</v>
      </c>
      <c r="G54" s="6">
        <v>125</v>
      </c>
      <c r="H54" s="6">
        <f>MAX(0,((Tabelle14[[#This Row],[Wasser / 100g]]^(1/3.5))*0.95)-2.08)</f>
        <v>1.694337672333798</v>
      </c>
      <c r="I54" s="6">
        <f>MIN(5,ROUNDUP(Tabelle14[[#This Row],[Wasser Normallisiert]]*2,0)/2)</f>
        <v>2</v>
      </c>
    </row>
    <row r="55" spans="2:9" ht="15" customHeight="1" x14ac:dyDescent="0.25">
      <c r="B55" s="10">
        <v>53</v>
      </c>
      <c r="C55" s="12" t="s">
        <v>198</v>
      </c>
      <c r="D55" s="6">
        <v>300</v>
      </c>
      <c r="E55" s="7">
        <f>((Tabelle14[[#This Row],[CO2 /100g]]^(1/3.3))*0.9)-2.26</f>
        <v>2.8085684263059543</v>
      </c>
      <c r="F55" s="7">
        <f>MIN(5,ROUNDUP(Tabelle14[[#This Row],[CO2 Normallisiert]]*2,0)/2)</f>
        <v>3</v>
      </c>
      <c r="G55" s="6">
        <v>247</v>
      </c>
      <c r="H55" s="6">
        <f>MAX(0,((Tabelle14[[#This Row],[Wasser / 100g]]^(1/3.5))*0.95)-2.08)</f>
        <v>2.5051263332830249</v>
      </c>
      <c r="I55" s="6">
        <f>MIN(5,ROUNDUP(Tabelle14[[#This Row],[Wasser Normallisiert]]*2,0)/2)</f>
        <v>3</v>
      </c>
    </row>
    <row r="56" spans="2:9" ht="15" customHeight="1" x14ac:dyDescent="0.25">
      <c r="B56" s="10">
        <v>54</v>
      </c>
      <c r="C56" s="12" t="s">
        <v>199</v>
      </c>
      <c r="D56" s="6">
        <v>239</v>
      </c>
      <c r="E56" s="7">
        <f>((Tabelle14[[#This Row],[CO2 /100g]]^(1/3.3))*0.9)-2.26</f>
        <v>2.4711764571452015</v>
      </c>
      <c r="F56" s="7">
        <f>MIN(5,ROUNDUP(Tabelle14[[#This Row],[CO2 Normallisiert]]*2,0)/2)</f>
        <v>2.5</v>
      </c>
      <c r="G56" s="6">
        <v>200</v>
      </c>
      <c r="H56" s="6">
        <f>MAX(0,((Tabelle14[[#This Row],[Wasser / 100g]]^(1/3.5))*0.95)-2.08)</f>
        <v>2.236788260271231</v>
      </c>
      <c r="I56" s="6">
        <f>MIN(5,ROUNDUP(Tabelle14[[#This Row],[Wasser Normallisiert]]*2,0)/2)</f>
        <v>2.5</v>
      </c>
    </row>
    <row r="57" spans="2:9" ht="15" customHeight="1" x14ac:dyDescent="0.25">
      <c r="B57" s="10">
        <v>55</v>
      </c>
      <c r="C57" s="12" t="s">
        <v>200</v>
      </c>
      <c r="D57" s="6">
        <v>181</v>
      </c>
      <c r="E57" s="7">
        <f>((Tabelle14[[#This Row],[CO2 /100g]]^(1/3.3))*0.9)-2.26</f>
        <v>2.0889812185069374</v>
      </c>
      <c r="F57" s="7">
        <f>MIN(5,ROUNDUP(Tabelle14[[#This Row],[CO2 Normallisiert]]*2,0)/2)</f>
        <v>2.5</v>
      </c>
      <c r="G57" s="6">
        <v>103</v>
      </c>
      <c r="H57" s="6">
        <f>MAX(0,((Tabelle14[[#This Row],[Wasser / 100g]]^(1/3.5))*0.95)-2.08)</f>
        <v>1.4912475479839058</v>
      </c>
      <c r="I57" s="6">
        <f>MIN(5,ROUNDUP(Tabelle14[[#This Row],[Wasser Normallisiert]]*2,0)/2)</f>
        <v>1.5</v>
      </c>
    </row>
    <row r="58" spans="2:9" ht="15" customHeight="1" x14ac:dyDescent="0.25">
      <c r="B58" s="10">
        <v>56</v>
      </c>
      <c r="C58" s="12" t="s">
        <v>201</v>
      </c>
      <c r="D58" s="6">
        <v>328</v>
      </c>
      <c r="E58" s="7">
        <f>((Tabelle14[[#This Row],[CO2 /100g]]^(1/3.3))*0.9)-2.26</f>
        <v>2.9474909358151633</v>
      </c>
      <c r="F58" s="7">
        <f>MIN(5,ROUNDUP(Tabelle14[[#This Row],[CO2 Normallisiert]]*2,0)/2)</f>
        <v>3</v>
      </c>
      <c r="G58" s="6">
        <v>139</v>
      </c>
      <c r="H58" s="6">
        <f>MAX(0,((Tabelle14[[#This Row],[Wasser / 100g]]^(1/3.5))*0.95)-2.08)</f>
        <v>1.8105728180720528</v>
      </c>
      <c r="I58" s="6">
        <f>MIN(5,ROUNDUP(Tabelle14[[#This Row],[Wasser Normallisiert]]*2,0)/2)</f>
        <v>2</v>
      </c>
    </row>
    <row r="59" spans="2:9" ht="15" customHeight="1" x14ac:dyDescent="0.25">
      <c r="B59" s="10">
        <v>57</v>
      </c>
      <c r="C59" s="12" t="s">
        <v>202</v>
      </c>
      <c r="D59" s="6">
        <v>333</v>
      </c>
      <c r="E59" s="7">
        <f>((Tabelle14[[#This Row],[CO2 /100g]]^(1/3.3))*0.9)-2.26</f>
        <v>2.971419536409118</v>
      </c>
      <c r="F59" s="7">
        <f>MIN(5,ROUNDUP(Tabelle14[[#This Row],[CO2 Normallisiert]]*2,0)/2)</f>
        <v>3</v>
      </c>
      <c r="G59" s="6">
        <v>358</v>
      </c>
      <c r="H59" s="6">
        <f>MAX(0,((Tabelle14[[#This Row],[Wasser / 100g]]^(1/3.5))*0.95)-2.08)</f>
        <v>3.0180544545130683</v>
      </c>
      <c r="I59" s="6">
        <f>MIN(5,ROUNDUP(Tabelle14[[#This Row],[Wasser Normallisiert]]*2,0)/2)</f>
        <v>3.5</v>
      </c>
    </row>
    <row r="60" spans="2:9" ht="15" customHeight="1" x14ac:dyDescent="0.25">
      <c r="B60" s="10">
        <v>58</v>
      </c>
      <c r="C60" s="12" t="s">
        <v>203</v>
      </c>
      <c r="D60" s="6">
        <v>61</v>
      </c>
      <c r="E60" s="7">
        <f>((Tabelle14[[#This Row],[CO2 /100g]]^(1/3.3))*0.9)-2.26</f>
        <v>0.86789056707917833</v>
      </c>
      <c r="F60" s="7">
        <f>MIN(5,ROUNDUP(Tabelle14[[#This Row],[CO2 Normallisiert]]*2,0)/2)</f>
        <v>1</v>
      </c>
      <c r="G60" s="6">
        <v>108</v>
      </c>
      <c r="H60" s="6">
        <f>MAX(0,((Tabelle14[[#This Row],[Wasser / 100g]]^(1/3.5))*0.95)-2.08)</f>
        <v>1.539943741847444</v>
      </c>
      <c r="I60" s="6">
        <f>MIN(5,ROUNDUP(Tabelle14[[#This Row],[Wasser Normallisiert]]*2,0)/2)</f>
        <v>2</v>
      </c>
    </row>
    <row r="61" spans="2:9" ht="15" customHeight="1" x14ac:dyDescent="0.25">
      <c r="B61" s="10">
        <v>59</v>
      </c>
      <c r="C61" s="12" t="s">
        <v>204</v>
      </c>
      <c r="D61" s="6">
        <v>353</v>
      </c>
      <c r="E61" s="7">
        <f>((Tabelle14[[#This Row],[CO2 /100g]]^(1/3.3))*0.9)-2.26</f>
        <v>3.064703755895561</v>
      </c>
      <c r="F61" s="7">
        <f>MIN(5,ROUNDUP(Tabelle14[[#This Row],[CO2 Normallisiert]]*2,0)/2)</f>
        <v>3.5</v>
      </c>
      <c r="G61" s="6">
        <v>82</v>
      </c>
      <c r="H61" s="6">
        <f>MAX(0,((Tabelle14[[#This Row],[Wasser / 100g]]^(1/3.5))*0.95)-2.08)</f>
        <v>1.2660125312060875</v>
      </c>
      <c r="I61" s="6">
        <f>MIN(5,ROUNDUP(Tabelle14[[#This Row],[Wasser Normallisiert]]*2,0)/2)</f>
        <v>1.5</v>
      </c>
    </row>
    <row r="62" spans="2:9" ht="15" customHeight="1" x14ac:dyDescent="0.25">
      <c r="B62" s="10">
        <v>60</v>
      </c>
      <c r="C62" s="12" t="s">
        <v>205</v>
      </c>
      <c r="D62" s="6">
        <v>269</v>
      </c>
      <c r="E62" s="7">
        <f>((Tabelle14[[#This Row],[CO2 /100g]]^(1/3.3))*0.9)-2.26</f>
        <v>2.6437811415024193</v>
      </c>
      <c r="F62" s="7">
        <f>MIN(5,ROUNDUP(Tabelle14[[#This Row],[CO2 Normallisiert]]*2,0)/2)</f>
        <v>3</v>
      </c>
      <c r="G62" s="6">
        <v>61</v>
      </c>
      <c r="H62" s="6">
        <f>MAX(0,((Tabelle14[[#This Row],[Wasser / 100g]]^(1/3.5))*0.95)-2.08)</f>
        <v>0.99480687797681</v>
      </c>
      <c r="I62" s="6">
        <f>MIN(5,ROUNDUP(Tabelle14[[#This Row],[Wasser Normallisiert]]*2,0)/2)</f>
        <v>1</v>
      </c>
    </row>
    <row r="63" spans="2:9" ht="15" customHeight="1" x14ac:dyDescent="0.25">
      <c r="B63" s="10">
        <v>61</v>
      </c>
      <c r="C63" s="12" t="s">
        <v>206</v>
      </c>
      <c r="D63" s="6">
        <v>958</v>
      </c>
      <c r="E63" s="7">
        <f>((Tabelle14[[#This Row],[CO2 /100g]]^(1/3.3))*0.9)-2.26</f>
        <v>4.9458729912740216</v>
      </c>
      <c r="F63" s="7">
        <f>MIN(5,ROUNDUP(Tabelle14[[#This Row],[CO2 Normallisiert]]*2,0)/2)</f>
        <v>5</v>
      </c>
      <c r="G63" s="6">
        <v>690</v>
      </c>
      <c r="H63" s="6">
        <f>MAX(0,((Tabelle14[[#This Row],[Wasser / 100g]]^(1/3.5))*0.95)-2.08)</f>
        <v>4.0692669300803717</v>
      </c>
      <c r="I63" s="6">
        <f>MIN(5,ROUNDUP(Tabelle14[[#This Row],[Wasser Normallisiert]]*2,0)/2)</f>
        <v>4.5</v>
      </c>
    </row>
    <row r="64" spans="2:9" ht="15" customHeight="1" x14ac:dyDescent="0.25">
      <c r="B64" s="10">
        <v>62</v>
      </c>
      <c r="C64" s="12" t="s">
        <v>207</v>
      </c>
      <c r="D64" s="6">
        <v>197</v>
      </c>
      <c r="E64" s="7">
        <f>((Tabelle14[[#This Row],[CO2 /100g]]^(1/3.3))*0.9)-2.26</f>
        <v>2.2020589667107835</v>
      </c>
      <c r="F64" s="7">
        <f>MIN(5,ROUNDUP(Tabelle14[[#This Row],[CO2 Normallisiert]]*2,0)/2)</f>
        <v>2.5</v>
      </c>
      <c r="G64" s="6">
        <v>225</v>
      </c>
      <c r="H64" s="6">
        <f>MAX(0,((Tabelle14[[#This Row],[Wasser / 100g]]^(1/3.5))*0.95)-2.08)</f>
        <v>2.3845300792683028</v>
      </c>
      <c r="I64" s="6">
        <f>MIN(5,ROUNDUP(Tabelle14[[#This Row],[Wasser Normallisiert]]*2,0)/2)</f>
        <v>2.5</v>
      </c>
    </row>
    <row r="65" spans="2:9" ht="15" customHeight="1" x14ac:dyDescent="0.25">
      <c r="B65" s="10">
        <v>63</v>
      </c>
      <c r="C65" s="12" t="s">
        <v>208</v>
      </c>
      <c r="D65" s="6">
        <v>103</v>
      </c>
      <c r="E65" s="7">
        <f>((Tabelle14[[#This Row],[CO2 /100g]]^(1/3.3))*0.9)-2.26</f>
        <v>1.4060061027630808</v>
      </c>
      <c r="F65" s="7">
        <f>MIN(5,ROUNDUP(Tabelle14[[#This Row],[CO2 Normallisiert]]*2,0)/2)</f>
        <v>1.5</v>
      </c>
      <c r="G65" s="6">
        <v>115</v>
      </c>
      <c r="H65" s="6">
        <f>MAX(0,((Tabelle14[[#This Row],[Wasser / 100g]]^(1/3.5))*0.95)-2.08)</f>
        <v>1.6054830385694356</v>
      </c>
      <c r="I65" s="6">
        <f>MIN(5,ROUNDUP(Tabelle14[[#This Row],[Wasser Normallisiert]]*2,0)/2)</f>
        <v>2</v>
      </c>
    </row>
    <row r="66" spans="2:9" ht="15" customHeight="1" x14ac:dyDescent="0.25">
      <c r="B66" s="10">
        <v>64</v>
      </c>
      <c r="C66" s="12" t="s">
        <v>209</v>
      </c>
      <c r="D66" s="6">
        <v>676</v>
      </c>
      <c r="E66" s="7">
        <f>((Tabelle14[[#This Row],[CO2 /100g]]^(1/3.3))*0.9)-2.26</f>
        <v>4.2233895141437818</v>
      </c>
      <c r="F66" s="7">
        <f>MIN(5,ROUNDUP(Tabelle14[[#This Row],[CO2 Normallisiert]]*2,0)/2)</f>
        <v>4.5</v>
      </c>
      <c r="G66" s="6">
        <v>753</v>
      </c>
      <c r="H66" s="6">
        <f>MAX(0,((Tabelle14[[#This Row],[Wasser / 100g]]^(1/3.5))*0.95)-2.08)</f>
        <v>4.2247087238066285</v>
      </c>
      <c r="I66" s="6">
        <f>MIN(5,ROUNDUP(Tabelle14[[#This Row],[Wasser Normallisiert]]*2,0)/2)</f>
        <v>4.5</v>
      </c>
    </row>
    <row r="67" spans="2:9" ht="15" customHeight="1" x14ac:dyDescent="0.25">
      <c r="B67" s="10">
        <v>65</v>
      </c>
      <c r="C67" s="12" t="s">
        <v>210</v>
      </c>
      <c r="D67" s="6">
        <v>135</v>
      </c>
      <c r="E67" s="7">
        <f>((Tabelle14[[#This Row],[CO2 /100g]]^(1/3.3))*0.9)-2.26</f>
        <v>1.719222255060405</v>
      </c>
      <c r="F67" s="7">
        <f>MIN(5,ROUNDUP(Tabelle14[[#This Row],[CO2 Normallisiert]]*2,0)/2)</f>
        <v>2</v>
      </c>
      <c r="G67" s="6">
        <v>128</v>
      </c>
      <c r="H67" s="6">
        <f>MAX(0,((Tabelle14[[#This Row],[Wasser / 100g]]^(1/3.5))*0.95)-2.08)</f>
        <v>1.7199999999999998</v>
      </c>
      <c r="I67" s="6">
        <f>MIN(5,ROUNDUP(Tabelle14[[#This Row],[Wasser Normallisiert]]*2,0)/2)</f>
        <v>2</v>
      </c>
    </row>
    <row r="68" spans="2:9" ht="15" customHeight="1" x14ac:dyDescent="0.25">
      <c r="B68" s="10">
        <v>66</v>
      </c>
      <c r="C68" s="12" t="s">
        <v>211</v>
      </c>
      <c r="D68" s="6">
        <v>126</v>
      </c>
      <c r="E68" s="7">
        <f>((Tabelle14[[#This Row],[CO2 /100g]]^(1/3.3))*0.9)-2.26</f>
        <v>1.6368925603691178</v>
      </c>
      <c r="F68" s="7">
        <f>MIN(5,ROUNDUP(Tabelle14[[#This Row],[CO2 Normallisiert]]*2,0)/2)</f>
        <v>2</v>
      </c>
      <c r="G68" s="6">
        <v>120</v>
      </c>
      <c r="H68" s="6">
        <f>MAX(0,((Tabelle14[[#This Row],[Wasser / 100g]]^(1/3.5))*0.95)-2.08)</f>
        <v>1.6505716872266114</v>
      </c>
      <c r="I68" s="6">
        <f>MIN(5,ROUNDUP(Tabelle14[[#This Row],[Wasser Normallisiert]]*2,0)/2)</f>
        <v>2</v>
      </c>
    </row>
    <row r="69" spans="2:9" ht="15" customHeight="1" x14ac:dyDescent="0.25">
      <c r="B69" s="10">
        <v>67</v>
      </c>
      <c r="C69" s="12" t="s">
        <v>212</v>
      </c>
      <c r="D69" s="6">
        <v>124</v>
      </c>
      <c r="E69" s="7">
        <f>((Tabelle14[[#This Row],[CO2 /100g]]^(1/3.3))*0.9)-2.26</f>
        <v>1.6180438644549584</v>
      </c>
      <c r="F69" s="7">
        <f>MIN(5,ROUNDUP(Tabelle14[[#This Row],[CO2 Normallisiert]]*2,0)/2)</f>
        <v>2</v>
      </c>
      <c r="G69" s="6">
        <v>101</v>
      </c>
      <c r="H69" s="6">
        <f>MAX(0,((Tabelle14[[#This Row],[Wasser / 100g]]^(1/3.5))*0.95)-2.08)</f>
        <v>1.4712958589397838</v>
      </c>
      <c r="I69" s="6">
        <f>MIN(5,ROUNDUP(Tabelle14[[#This Row],[Wasser Normallisiert]]*2,0)/2)</f>
        <v>1.5</v>
      </c>
    </row>
    <row r="70" spans="2:9" ht="15" customHeight="1" x14ac:dyDescent="0.25">
      <c r="B70" s="10">
        <v>68</v>
      </c>
      <c r="C70" s="12" t="s">
        <v>213</v>
      </c>
      <c r="D70" s="6">
        <v>242</v>
      </c>
      <c r="E70" s="7">
        <f>((Tabelle14[[#This Row],[CO2 /100g]]^(1/3.3))*0.9)-2.26</f>
        <v>2.4890943979837692</v>
      </c>
      <c r="F70" s="7">
        <f>MIN(5,ROUNDUP(Tabelle14[[#This Row],[CO2 Normallisiert]]*2,0)/2)</f>
        <v>2.5</v>
      </c>
      <c r="G70" s="6">
        <v>165</v>
      </c>
      <c r="H70" s="6">
        <f>MAX(0,((Tabelle14[[#This Row],[Wasser / 100g]]^(1/3.5))*0.95)-2.08)</f>
        <v>2.0059255259273892</v>
      </c>
      <c r="I70" s="6">
        <f>MIN(5,ROUNDUP(Tabelle14[[#This Row],[Wasser Normallisiert]]*2,0)/2)</f>
        <v>2.5</v>
      </c>
    </row>
    <row r="71" spans="2:9" ht="15" customHeight="1" x14ac:dyDescent="0.25">
      <c r="B71" s="10">
        <v>69</v>
      </c>
      <c r="C71" s="12" t="s">
        <v>214</v>
      </c>
      <c r="D71" s="6">
        <v>144</v>
      </c>
      <c r="E71" s="7">
        <f>((Tabelle14[[#This Row],[CO2 /100g]]^(1/3.3))*0.9)-2.26</f>
        <v>1.7978103867229986</v>
      </c>
      <c r="F71" s="7">
        <f>MIN(5,ROUNDUP(Tabelle14[[#This Row],[CO2 Normallisiert]]*2,0)/2)</f>
        <v>2</v>
      </c>
      <c r="G71" s="6">
        <v>171</v>
      </c>
      <c r="H71" s="6">
        <f>MAX(0,((Tabelle14[[#This Row],[Wasser / 100g]]^(1/3.5))*0.95)-2.08)</f>
        <v>2.0478365668918332</v>
      </c>
      <c r="I71" s="6">
        <f>MIN(5,ROUNDUP(Tabelle14[[#This Row],[Wasser Normallisiert]]*2,0)/2)</f>
        <v>2.5</v>
      </c>
    </row>
    <row r="72" spans="2:9" ht="15" customHeight="1" x14ac:dyDescent="0.25">
      <c r="B72" s="10">
        <v>70</v>
      </c>
      <c r="C72" s="12" t="s">
        <v>215</v>
      </c>
      <c r="D72" s="6">
        <v>97</v>
      </c>
      <c r="E72" s="7">
        <f>((Tabelle14[[#This Row],[CO2 /100g]]^(1/3.3))*0.9)-2.26</f>
        <v>1.3399340953026191</v>
      </c>
      <c r="F72" s="7">
        <f>MIN(5,ROUNDUP(Tabelle14[[#This Row],[CO2 Normallisiert]]*2,0)/2)</f>
        <v>1.5</v>
      </c>
      <c r="G72" s="6">
        <v>71</v>
      </c>
      <c r="H72" s="6">
        <f>MAX(0,((Tabelle14[[#This Row],[Wasser / 100g]]^(1/3.5))*0.95)-2.08)</f>
        <v>1.1311054085932239</v>
      </c>
      <c r="I72" s="6">
        <f>MIN(5,ROUNDUP(Tabelle14[[#This Row],[Wasser Normallisiert]]*2,0)/2)</f>
        <v>1.5</v>
      </c>
    </row>
    <row r="73" spans="2:9" ht="15" customHeight="1" x14ac:dyDescent="0.25">
      <c r="B73" s="10">
        <v>71</v>
      </c>
      <c r="C73" s="12" t="s">
        <v>216</v>
      </c>
      <c r="D73" s="6">
        <v>242</v>
      </c>
      <c r="E73" s="7">
        <f>((Tabelle14[[#This Row],[CO2 /100g]]^(1/3.3))*0.9)-2.26</f>
        <v>2.4890943979837692</v>
      </c>
      <c r="F73" s="7">
        <f>MIN(5,ROUNDUP(Tabelle14[[#This Row],[CO2 Normallisiert]]*2,0)/2)</f>
        <v>2.5</v>
      </c>
      <c r="G73" s="6">
        <v>234</v>
      </c>
      <c r="H73" s="6">
        <f>MAX(0,((Tabelle14[[#This Row],[Wasser / 100g]]^(1/3.5))*0.95)-2.08)</f>
        <v>2.4348405987522224</v>
      </c>
      <c r="I73" s="6">
        <f>MIN(5,ROUNDUP(Tabelle14[[#This Row],[Wasser Normallisiert]]*2,0)/2)</f>
        <v>2.5</v>
      </c>
    </row>
    <row r="74" spans="2:9" ht="15" customHeight="1" x14ac:dyDescent="0.25">
      <c r="B74" s="10">
        <v>72</v>
      </c>
      <c r="C74" s="12" t="s">
        <v>217</v>
      </c>
      <c r="D74" s="6">
        <v>174</v>
      </c>
      <c r="E74" s="7">
        <f>((Tabelle14[[#This Row],[CO2 /100g]]^(1/3.3))*0.9)-2.26</f>
        <v>2.0373114158210459</v>
      </c>
      <c r="F74" s="7">
        <f>MIN(5,ROUNDUP(Tabelle14[[#This Row],[CO2 Normallisiert]]*2,0)/2)</f>
        <v>2.5</v>
      </c>
      <c r="G74" s="6">
        <v>184</v>
      </c>
      <c r="H74" s="6">
        <f>MAX(0,((Tabelle14[[#This Row],[Wasser / 100g]]^(1/3.5))*0.95)-2.08)</f>
        <v>2.1351633731509629</v>
      </c>
      <c r="I74" s="6">
        <f>MIN(5,ROUNDUP(Tabelle14[[#This Row],[Wasser Normallisiert]]*2,0)/2)</f>
        <v>2.5</v>
      </c>
    </row>
    <row r="75" spans="2:9" ht="15" customHeight="1" x14ac:dyDescent="0.25">
      <c r="B75" s="10">
        <v>73</v>
      </c>
      <c r="C75" s="12" t="s">
        <v>218</v>
      </c>
      <c r="D75" s="6">
        <v>194</v>
      </c>
      <c r="E75" s="7">
        <f>((Tabelle14[[#This Row],[CO2 /100g]]^(1/3.3))*0.9)-2.26</f>
        <v>2.1813577915589297</v>
      </c>
      <c r="F75" s="7">
        <f>MIN(5,ROUNDUP(Tabelle14[[#This Row],[CO2 Normallisiert]]*2,0)/2)</f>
        <v>2.5</v>
      </c>
      <c r="G75" s="6">
        <v>165</v>
      </c>
      <c r="H75" s="6">
        <f>MAX(0,((Tabelle14[[#This Row],[Wasser / 100g]]^(1/3.5))*0.95)-2.08)</f>
        <v>2.0059255259273892</v>
      </c>
      <c r="I75" s="6">
        <f>MIN(5,ROUNDUP(Tabelle14[[#This Row],[Wasser Normallisiert]]*2,0)/2)</f>
        <v>2.5</v>
      </c>
    </row>
    <row r="76" spans="2:9" ht="15" customHeight="1" x14ac:dyDescent="0.25">
      <c r="B76" s="10">
        <v>74</v>
      </c>
      <c r="C76" s="12" t="s">
        <v>219</v>
      </c>
      <c r="D76" s="6">
        <v>153</v>
      </c>
      <c r="E76" s="7">
        <f>((Tabelle14[[#This Row],[CO2 /100g]]^(1/3.3))*0.9)-2.26</f>
        <v>1.8730457794580255</v>
      </c>
      <c r="F76" s="7">
        <f>MIN(5,ROUNDUP(Tabelle14[[#This Row],[CO2 Normallisiert]]*2,0)/2)</f>
        <v>2</v>
      </c>
      <c r="G76" s="6">
        <v>118</v>
      </c>
      <c r="H76" s="6">
        <f>MAX(0,((Tabelle14[[#This Row],[Wasser / 100g]]^(1/3.5))*0.95)-2.08)</f>
        <v>1.6327002997193745</v>
      </c>
      <c r="I76" s="6">
        <f>MIN(5,ROUNDUP(Tabelle14[[#This Row],[Wasser Normallisiert]]*2,0)/2)</f>
        <v>2</v>
      </c>
    </row>
    <row r="77" spans="2:9" ht="15" customHeight="1" x14ac:dyDescent="0.25">
      <c r="B77" s="10">
        <v>75</v>
      </c>
      <c r="C77" s="12" t="s">
        <v>220</v>
      </c>
      <c r="D77" s="6">
        <v>150</v>
      </c>
      <c r="E77" s="7">
        <f>((Tabelle14[[#This Row],[CO2 /100g]]^(1/3.3))*0.9)-2.26</f>
        <v>1.8483184801980492</v>
      </c>
      <c r="F77" s="7">
        <f>MIN(5,ROUNDUP(Tabelle14[[#This Row],[CO2 Normallisiert]]*2,0)/2)</f>
        <v>2</v>
      </c>
      <c r="G77" s="6">
        <v>180</v>
      </c>
      <c r="H77" s="6">
        <f>MAX(0,((Tabelle14[[#This Row],[Wasser / 100g]]^(1/3.5))*0.95)-2.08)</f>
        <v>2.1087764015242563</v>
      </c>
      <c r="I77" s="6">
        <f>MIN(5,ROUNDUP(Tabelle14[[#This Row],[Wasser Normallisiert]]*2,0)/2)</f>
        <v>2.5</v>
      </c>
    </row>
    <row r="78" spans="2:9" ht="15" customHeight="1" x14ac:dyDescent="0.25">
      <c r="B78" s="10">
        <v>76</v>
      </c>
      <c r="C78" s="12" t="s">
        <v>221</v>
      </c>
      <c r="D78" s="6">
        <v>208</v>
      </c>
      <c r="E78" s="7">
        <f>((Tabelle14[[#This Row],[CO2 /100g]]^(1/3.3))*0.9)-2.26</f>
        <v>2.2761347195875272</v>
      </c>
      <c r="F78" s="7">
        <f>MIN(5,ROUNDUP(Tabelle14[[#This Row],[CO2 Normallisiert]]*2,0)/2)</f>
        <v>2.5</v>
      </c>
      <c r="G78" s="6">
        <v>153</v>
      </c>
      <c r="H78" s="6">
        <f>MAX(0,((Tabelle14[[#This Row],[Wasser / 100g]]^(1/3.5))*0.95)-2.08)</f>
        <v>1.9187214924992455</v>
      </c>
      <c r="I78" s="6">
        <f>MIN(5,ROUNDUP(Tabelle14[[#This Row],[Wasser Normallisiert]]*2,0)/2)</f>
        <v>2</v>
      </c>
    </row>
    <row r="79" spans="2:9" ht="15" customHeight="1" x14ac:dyDescent="0.25">
      <c r="B79" s="10">
        <v>77</v>
      </c>
      <c r="C79" s="12" t="s">
        <v>222</v>
      </c>
      <c r="D79" s="6">
        <v>202</v>
      </c>
      <c r="E79" s="7">
        <f>((Tabelle14[[#This Row],[CO2 /100g]]^(1/3.3))*0.9)-2.26</f>
        <v>2.2360779642844122</v>
      </c>
      <c r="F79" s="7">
        <f>MIN(5,ROUNDUP(Tabelle14[[#This Row],[CO2 Normallisiert]]*2,0)/2)</f>
        <v>2.5</v>
      </c>
      <c r="G79" s="6">
        <v>183</v>
      </c>
      <c r="H79" s="6">
        <f>MAX(0,((Tabelle14[[#This Row],[Wasser / 100g]]^(1/3.5))*0.95)-2.08)</f>
        <v>2.1286053444523985</v>
      </c>
      <c r="I79" s="6">
        <f>MIN(5,ROUNDUP(Tabelle14[[#This Row],[Wasser Normallisiert]]*2,0)/2)</f>
        <v>2.5</v>
      </c>
    </row>
    <row r="80" spans="2:9" ht="15" customHeight="1" x14ac:dyDescent="0.25">
      <c r="B80" s="10">
        <v>78</v>
      </c>
      <c r="C80" s="12" t="s">
        <v>223</v>
      </c>
      <c r="D80" s="6">
        <v>27</v>
      </c>
      <c r="E80" s="7">
        <f>((Tabelle14[[#This Row],[CO2 /100g]]^(1/3.3))*0.9)-2.26</f>
        <v>0.18336925390921266</v>
      </c>
      <c r="F80" s="7">
        <f>MIN(5,ROUNDUP(Tabelle14[[#This Row],[CO2 Normallisiert]]*2,0)/2)</f>
        <v>0.5</v>
      </c>
      <c r="G80" s="6">
        <v>25</v>
      </c>
      <c r="H80" s="6">
        <f>MAX(0,((Tabelle14[[#This Row],[Wasser / 100g]]^(1/3.5))*0.95)-2.08)</f>
        <v>0.30306032545784278</v>
      </c>
      <c r="I80" s="6">
        <f>MIN(5,ROUNDUP(Tabelle14[[#This Row],[Wasser Normallisiert]]*2,0)/2)</f>
        <v>0.5</v>
      </c>
    </row>
    <row r="81" spans="2:9" ht="15" customHeight="1" x14ac:dyDescent="0.25">
      <c r="B81" s="10">
        <v>79</v>
      </c>
      <c r="C81" s="12" t="s">
        <v>224</v>
      </c>
      <c r="D81" s="6">
        <v>431</v>
      </c>
      <c r="E81" s="7">
        <f>((Tabelle14[[#This Row],[CO2 /100g]]^(1/3.3))*0.9)-2.26</f>
        <v>3.3967756520141918</v>
      </c>
      <c r="F81" s="7">
        <f>MIN(5,ROUNDUP(Tabelle14[[#This Row],[CO2 Normallisiert]]*2,0)/2)</f>
        <v>3.5</v>
      </c>
      <c r="G81" s="6">
        <v>308</v>
      </c>
      <c r="H81" s="6">
        <f>MAX(0,((Tabelle14[[#This Row],[Wasser / 100g]]^(1/3.5))*0.95)-2.08)</f>
        <v>2.8035776300561137</v>
      </c>
      <c r="I81" s="6">
        <f>MIN(5,ROUNDUP(Tabelle14[[#This Row],[Wasser Normallisiert]]*2,0)/2)</f>
        <v>3</v>
      </c>
    </row>
    <row r="82" spans="2:9" ht="15" customHeight="1" x14ac:dyDescent="0.25">
      <c r="B82" s="10">
        <v>80</v>
      </c>
      <c r="C82" s="12" t="s">
        <v>225</v>
      </c>
      <c r="D82" s="6">
        <v>254</v>
      </c>
      <c r="E82" s="7">
        <f>((Tabelle14[[#This Row],[CO2 /100g]]^(1/3.3))*0.9)-2.26</f>
        <v>2.5592560286991031</v>
      </c>
      <c r="F82" s="7">
        <f>MIN(5,ROUNDUP(Tabelle14[[#This Row],[CO2 Normallisiert]]*2,0)/2)</f>
        <v>3</v>
      </c>
      <c r="G82" s="6">
        <v>246</v>
      </c>
      <c r="H82" s="6">
        <f>MAX(0,((Tabelle14[[#This Row],[Wasser / 100g]]^(1/3.5))*0.95)-2.08)</f>
        <v>2.4998148567641012</v>
      </c>
      <c r="I82" s="6">
        <f>MIN(5,ROUNDUP(Tabelle14[[#This Row],[Wasser Normallisiert]]*2,0)/2)</f>
        <v>2.5</v>
      </c>
    </row>
    <row r="83" spans="2:9" ht="15" customHeight="1" x14ac:dyDescent="0.25">
      <c r="B83" s="10">
        <v>81</v>
      </c>
      <c r="C83" s="12" t="s">
        <v>226</v>
      </c>
      <c r="D83" s="6">
        <v>451</v>
      </c>
      <c r="E83" s="7">
        <f>((Tabelle14[[#This Row],[CO2 /100g]]^(1/3.3))*0.9)-2.26</f>
        <v>3.4750661456355809</v>
      </c>
      <c r="F83" s="7">
        <f>MIN(5,ROUNDUP(Tabelle14[[#This Row],[CO2 Normallisiert]]*2,0)/2)</f>
        <v>3.5</v>
      </c>
      <c r="G83" s="6">
        <v>522</v>
      </c>
      <c r="H83" s="6">
        <f>MAX(0,((Tabelle14[[#This Row],[Wasser / 100g]]^(1/3.5))*0.95)-2.08)</f>
        <v>3.5980719558818466</v>
      </c>
      <c r="I83" s="6">
        <f>MIN(5,ROUNDUP(Tabelle14[[#This Row],[Wasser Normallisiert]]*2,0)/2)</f>
        <v>4</v>
      </c>
    </row>
    <row r="84" spans="2:9" ht="15" customHeight="1" x14ac:dyDescent="0.25">
      <c r="B84" s="10">
        <v>82</v>
      </c>
      <c r="C84" s="12" t="s">
        <v>227</v>
      </c>
      <c r="D84" s="6">
        <v>799</v>
      </c>
      <c r="E84" s="7">
        <f>((Tabelle14[[#This Row],[CO2 /100g]]^(1/3.3))*0.9)-2.26</f>
        <v>4.5602789787827582</v>
      </c>
      <c r="F84" s="7">
        <f>MIN(5,ROUNDUP(Tabelle14[[#This Row],[CO2 Normallisiert]]*2,0)/2)</f>
        <v>5</v>
      </c>
      <c r="G84" s="6">
        <v>801</v>
      </c>
      <c r="H84" s="6">
        <f>MAX(0,((Tabelle14[[#This Row],[Wasser / 100g]]^(1/3.5))*0.95)-2.08)</f>
        <v>4.3370126525444963</v>
      </c>
      <c r="I84" s="6">
        <f>MIN(5,ROUNDUP(Tabelle14[[#This Row],[Wasser Normallisiert]]*2,0)/2)</f>
        <v>4.5</v>
      </c>
    </row>
    <row r="85" spans="2:9" ht="15" customHeight="1" x14ac:dyDescent="0.25">
      <c r="B85" s="10">
        <v>83</v>
      </c>
      <c r="C85" s="12" t="s">
        <v>228</v>
      </c>
      <c r="D85" s="6">
        <v>80</v>
      </c>
      <c r="E85" s="7">
        <f>((Tabelle14[[#This Row],[CO2 /100g]]^(1/3.3))*0.9)-2.26</f>
        <v>1.1357557510939174</v>
      </c>
      <c r="F85" s="7">
        <f>MIN(5,ROUNDUP(Tabelle14[[#This Row],[CO2 Normallisiert]]*2,0)/2)</f>
        <v>1.5</v>
      </c>
      <c r="G85" s="6">
        <v>65</v>
      </c>
      <c r="H85" s="6">
        <f>MAX(0,((Tabelle14[[#This Row],[Wasser / 100g]]^(1/3.5))*0.95)-2.08)</f>
        <v>1.05111378380106</v>
      </c>
      <c r="I85" s="6">
        <f>MIN(5,ROUNDUP(Tabelle14[[#This Row],[Wasser Normallisiert]]*2,0)/2)</f>
        <v>1.5</v>
      </c>
    </row>
    <row r="86" spans="2:9" ht="15" customHeight="1" x14ac:dyDescent="0.25">
      <c r="B86" s="10">
        <v>84</v>
      </c>
      <c r="C86" s="12" t="s">
        <v>229</v>
      </c>
      <c r="D86" s="6">
        <v>192</v>
      </c>
      <c r="E86" s="7">
        <f>((Tabelle14[[#This Row],[CO2 /100g]]^(1/3.3))*0.9)-2.26</f>
        <v>2.1674327442768364</v>
      </c>
      <c r="F86" s="7">
        <f>MIN(5,ROUNDUP(Tabelle14[[#This Row],[CO2 Normallisiert]]*2,0)/2)</f>
        <v>2.5</v>
      </c>
      <c r="G86" s="6">
        <v>62</v>
      </c>
      <c r="H86" s="6">
        <f>MAX(0,((Tabelle14[[#This Row],[Wasser / 100g]]^(1/3.5))*0.95)-2.08)</f>
        <v>1.0091252446416656</v>
      </c>
      <c r="I86" s="6">
        <f>MIN(5,ROUNDUP(Tabelle14[[#This Row],[Wasser Normallisiert]]*2,0)/2)</f>
        <v>1.5</v>
      </c>
    </row>
    <row r="87" spans="2:9" ht="15" customHeight="1" x14ac:dyDescent="0.25">
      <c r="B87" s="10">
        <v>85</v>
      </c>
      <c r="C87" s="12" t="s">
        <v>230</v>
      </c>
      <c r="D87" s="6">
        <v>467</v>
      </c>
      <c r="E87" s="7">
        <f>((Tabelle14[[#This Row],[CO2 /100g]]^(1/3.3))*0.9)-2.26</f>
        <v>3.5359737868329759</v>
      </c>
      <c r="F87" s="7">
        <f>MIN(5,ROUNDUP(Tabelle14[[#This Row],[CO2 Normallisiert]]*2,0)/2)</f>
        <v>4</v>
      </c>
      <c r="G87" s="6">
        <v>292</v>
      </c>
      <c r="H87" s="6">
        <f>MAX(0,((Tabelle14[[#This Row],[Wasser / 100g]]^(1/3.5))*0.95)-2.08)</f>
        <v>2.729707942231367</v>
      </c>
      <c r="I87" s="6">
        <f>MIN(5,ROUNDUP(Tabelle14[[#This Row],[Wasser Normallisiert]]*2,0)/2)</f>
        <v>3</v>
      </c>
    </row>
    <row r="88" spans="2:9" ht="15" customHeight="1" x14ac:dyDescent="0.25">
      <c r="B88" s="10">
        <v>86</v>
      </c>
      <c r="C88" s="12" t="s">
        <v>231</v>
      </c>
      <c r="D88" s="6">
        <v>66</v>
      </c>
      <c r="E88" s="7">
        <f>((Tabelle14[[#This Row],[CO2 /100g]]^(1/3.3))*0.9)-2.26</f>
        <v>0.9434611363791543</v>
      </c>
      <c r="F88" s="7">
        <f>MIN(5,ROUNDUP(Tabelle14[[#This Row],[CO2 Normallisiert]]*2,0)/2)</f>
        <v>1</v>
      </c>
      <c r="G88" s="6">
        <v>25</v>
      </c>
      <c r="H88" s="6">
        <f>MAX(0,((Tabelle14[[#This Row],[Wasser / 100g]]^(1/3.5))*0.95)-2.08)</f>
        <v>0.30306032545784278</v>
      </c>
      <c r="I88" s="6">
        <f>MIN(5,ROUNDUP(Tabelle14[[#This Row],[Wasser Normallisiert]]*2,0)/2)</f>
        <v>0.5</v>
      </c>
    </row>
    <row r="89" spans="2:9" ht="15" customHeight="1" x14ac:dyDescent="0.25">
      <c r="B89" s="10">
        <v>87</v>
      </c>
      <c r="C89" s="12" t="s">
        <v>232</v>
      </c>
      <c r="D89" s="6">
        <v>338</v>
      </c>
      <c r="E89" s="7">
        <f>((Tabelle14[[#This Row],[CO2 /100g]]^(1/3.3))*0.9)-2.26</f>
        <v>2.9950990171186698</v>
      </c>
      <c r="F89" s="7">
        <f>MIN(5,ROUNDUP(Tabelle14[[#This Row],[CO2 Normallisiert]]*2,0)/2)</f>
        <v>3</v>
      </c>
      <c r="G89" s="6">
        <v>94</v>
      </c>
      <c r="H89" s="6">
        <f>MAX(0,((Tabelle14[[#This Row],[Wasser / 100g]]^(1/3.5))*0.95)-2.08)</f>
        <v>1.3991601523134567</v>
      </c>
      <c r="I89" s="6">
        <f>MIN(5,ROUNDUP(Tabelle14[[#This Row],[Wasser Normallisiert]]*2,0)/2)</f>
        <v>1.5</v>
      </c>
    </row>
    <row r="90" spans="2:9" ht="15" customHeight="1" x14ac:dyDescent="0.25">
      <c r="B90" s="10">
        <v>88</v>
      </c>
      <c r="C90" s="12" t="s">
        <v>233</v>
      </c>
      <c r="D90" s="6">
        <v>498</v>
      </c>
      <c r="E90" s="7">
        <f>((Tabelle14[[#This Row],[CO2 /100g]]^(1/3.3))*0.9)-2.26</f>
        <v>3.6499626268441459</v>
      </c>
      <c r="F90" s="7">
        <f>MIN(5,ROUNDUP(Tabelle14[[#This Row],[CO2 Normallisiert]]*2,0)/2)</f>
        <v>4</v>
      </c>
      <c r="G90" s="6">
        <v>548</v>
      </c>
      <c r="H90" s="6">
        <f>MAX(0,((Tabelle14[[#This Row],[Wasser / 100g]]^(1/3.5))*0.95)-2.08)</f>
        <v>3.6774786513893547</v>
      </c>
      <c r="I90" s="6">
        <f>MIN(5,ROUNDUP(Tabelle14[[#This Row],[Wasser Normallisiert]]*2,0)/2)</f>
        <v>4</v>
      </c>
    </row>
    <row r="91" spans="2:9" ht="15" customHeight="1" x14ac:dyDescent="0.25">
      <c r="B91" s="10">
        <v>89</v>
      </c>
      <c r="C91" s="12" t="s">
        <v>234</v>
      </c>
      <c r="D91" s="6">
        <v>214</v>
      </c>
      <c r="E91" s="7">
        <f>((Tabelle14[[#This Row],[CO2 /100g]]^(1/3.3))*0.9)-2.26</f>
        <v>2.3153940319804134</v>
      </c>
      <c r="F91" s="7">
        <f>MIN(5,ROUNDUP(Tabelle14[[#This Row],[CO2 Normallisiert]]*2,0)/2)</f>
        <v>2.5</v>
      </c>
      <c r="G91" s="6">
        <v>254</v>
      </c>
      <c r="H91" s="6">
        <f>MAX(0,((Tabelle14[[#This Row],[Wasser / 100g]]^(1/3.5))*0.95)-2.08)</f>
        <v>2.5418830585135135</v>
      </c>
      <c r="I91" s="6">
        <f>MIN(5,ROUNDUP(Tabelle14[[#This Row],[Wasser Normallisiert]]*2,0)/2)</f>
        <v>3</v>
      </c>
    </row>
    <row r="92" spans="2:9" ht="15" customHeight="1" x14ac:dyDescent="0.25">
      <c r="B92" s="10">
        <v>90</v>
      </c>
      <c r="C92" s="12" t="s">
        <v>235</v>
      </c>
      <c r="D92" s="6">
        <v>141</v>
      </c>
      <c r="E92" s="7">
        <f>((Tabelle14[[#This Row],[CO2 /100g]]^(1/3.3))*0.9)-2.26</f>
        <v>1.7720046883260885</v>
      </c>
      <c r="F92" s="7">
        <f>MIN(5,ROUNDUP(Tabelle14[[#This Row],[CO2 Normallisiert]]*2,0)/2)</f>
        <v>2</v>
      </c>
      <c r="G92" s="6">
        <v>118</v>
      </c>
      <c r="H92" s="6">
        <f>MAX(0,((Tabelle14[[#This Row],[Wasser / 100g]]^(1/3.5))*0.95)-2.08)</f>
        <v>1.6327002997193745</v>
      </c>
      <c r="I92" s="6">
        <f>MIN(5,ROUNDUP(Tabelle14[[#This Row],[Wasser Normallisiert]]*2,0)/2)</f>
        <v>2</v>
      </c>
    </row>
    <row r="93" spans="2:9" ht="15" customHeight="1" x14ac:dyDescent="0.25">
      <c r="B93" s="10">
        <v>91</v>
      </c>
      <c r="C93" s="12" t="s">
        <v>236</v>
      </c>
      <c r="D93" s="6">
        <v>208</v>
      </c>
      <c r="E93" s="7">
        <f>((Tabelle14[[#This Row],[CO2 /100g]]^(1/3.3))*0.9)-2.26</f>
        <v>2.2761347195875272</v>
      </c>
      <c r="F93" s="7">
        <f>MIN(5,ROUNDUP(Tabelle14[[#This Row],[CO2 Normallisiert]]*2,0)/2)</f>
        <v>2.5</v>
      </c>
      <c r="G93" s="6">
        <v>144</v>
      </c>
      <c r="H93" s="6">
        <f>MAX(0,((Tabelle14[[#This Row],[Wasser / 100g]]^(1/3.5))*0.95)-2.08)</f>
        <v>1.8500547718209361</v>
      </c>
      <c r="I93" s="6">
        <f>MIN(5,ROUNDUP(Tabelle14[[#This Row],[Wasser Normallisiert]]*2,0)/2)</f>
        <v>2</v>
      </c>
    </row>
    <row r="94" spans="2:9" ht="15" customHeight="1" x14ac:dyDescent="0.25">
      <c r="B94" s="10">
        <v>92</v>
      </c>
      <c r="C94" s="12" t="s">
        <v>237</v>
      </c>
      <c r="D94" s="6">
        <v>319</v>
      </c>
      <c r="E94" s="7">
        <f>((Tabelle14[[#This Row],[CO2 /100g]]^(1/3.3))*0.9)-2.26</f>
        <v>2.903770817792183</v>
      </c>
      <c r="F94" s="7">
        <f>MIN(5,ROUNDUP(Tabelle14[[#This Row],[CO2 Normallisiert]]*2,0)/2)</f>
        <v>3</v>
      </c>
      <c r="G94" s="6">
        <v>99</v>
      </c>
      <c r="H94" s="6">
        <f>MAX(0,((Tabelle14[[#This Row],[Wasser / 100g]]^(1/3.5))*0.95)-2.08)</f>
        <v>1.4510599371819746</v>
      </c>
      <c r="I94" s="6">
        <f>MIN(5,ROUNDUP(Tabelle14[[#This Row],[Wasser Normallisiert]]*2,0)/2)</f>
        <v>1.5</v>
      </c>
    </row>
    <row r="95" spans="2:9" ht="15" customHeight="1" x14ac:dyDescent="0.25">
      <c r="B95" s="10">
        <v>93</v>
      </c>
      <c r="C95" s="12" t="s">
        <v>238</v>
      </c>
      <c r="D95" s="6">
        <v>319</v>
      </c>
      <c r="E95" s="7">
        <f>((Tabelle14[[#This Row],[CO2 /100g]]^(1/3.3))*0.9)-2.26</f>
        <v>2.903770817792183</v>
      </c>
      <c r="F95" s="7">
        <f>MIN(5,ROUNDUP(Tabelle14[[#This Row],[CO2 Normallisiert]]*2,0)/2)</f>
        <v>3</v>
      </c>
      <c r="G95" s="6">
        <v>373</v>
      </c>
      <c r="H95" s="6">
        <f>MAX(0,((Tabelle14[[#This Row],[Wasser / 100g]]^(1/3.5))*0.95)-2.08)</f>
        <v>3.0781926374783746</v>
      </c>
      <c r="I95" s="6">
        <f>MIN(5,ROUNDUP(Tabelle14[[#This Row],[Wasser Normallisiert]]*2,0)/2)</f>
        <v>3.5</v>
      </c>
    </row>
    <row r="96" spans="2:9" ht="15" customHeight="1" x14ac:dyDescent="0.25">
      <c r="B96" s="10">
        <v>94</v>
      </c>
      <c r="C96" s="12" t="s">
        <v>239</v>
      </c>
      <c r="D96" s="6">
        <v>279</v>
      </c>
      <c r="E96" s="7">
        <f>((Tabelle14[[#This Row],[CO2 /100g]]^(1/3.3))*0.9)-2.26</f>
        <v>2.6983216031787087</v>
      </c>
      <c r="F96" s="7">
        <f>MIN(5,ROUNDUP(Tabelle14[[#This Row],[CO2 Normallisiert]]*2,0)/2)</f>
        <v>3</v>
      </c>
      <c r="G96" s="6">
        <v>241</v>
      </c>
      <c r="H96" s="6">
        <f>MAX(0,((Tabelle14[[#This Row],[Wasser / 100g]]^(1/3.5))*0.95)-2.08)</f>
        <v>2.4730236182934187</v>
      </c>
      <c r="I96" s="6">
        <f>MIN(5,ROUNDUP(Tabelle14[[#This Row],[Wasser Normallisiert]]*2,0)/2)</f>
        <v>2.5</v>
      </c>
    </row>
    <row r="97" spans="2:9" ht="15" customHeight="1" x14ac:dyDescent="0.25">
      <c r="B97" s="10">
        <v>95</v>
      </c>
      <c r="C97" s="12" t="s">
        <v>240</v>
      </c>
      <c r="D97" s="6">
        <v>144</v>
      </c>
      <c r="E97" s="7">
        <f>((Tabelle14[[#This Row],[CO2 /100g]]^(1/3.3))*0.9)-2.26</f>
        <v>1.7978103867229986</v>
      </c>
      <c r="F97" s="7">
        <f>MIN(5,ROUNDUP(Tabelle14[[#This Row],[CO2 Normallisiert]]*2,0)/2)</f>
        <v>2</v>
      </c>
      <c r="G97" s="6">
        <v>275</v>
      </c>
      <c r="H97" s="6">
        <f>MAX(0,((Tabelle14[[#This Row],[Wasser / 100g]]^(1/3.5))*0.95)-2.08)</f>
        <v>2.6479818809160696</v>
      </c>
      <c r="I97" s="6">
        <f>MIN(5,ROUNDUP(Tabelle14[[#This Row],[Wasser Normallisiert]]*2,0)/2)</f>
        <v>3</v>
      </c>
    </row>
    <row r="98" spans="2:9" ht="15" customHeight="1" x14ac:dyDescent="0.25">
      <c r="B98" s="10">
        <v>96</v>
      </c>
      <c r="C98" s="12" t="s">
        <v>241</v>
      </c>
      <c r="D98" s="6">
        <v>94</v>
      </c>
      <c r="E98" s="7">
        <f>((Tabelle14[[#This Row],[CO2 /100g]]^(1/3.3))*0.9)-2.26</f>
        <v>1.3058251259666149</v>
      </c>
      <c r="F98" s="7">
        <f>MIN(5,ROUNDUP(Tabelle14[[#This Row],[CO2 Normallisiert]]*2,0)/2)</f>
        <v>1.5</v>
      </c>
      <c r="G98" s="9">
        <v>102</v>
      </c>
      <c r="H98" s="6">
        <f>MAX(0,((Tabelle14[[#This Row],[Wasser / 100g]]^(1/3.5))*0.95)-2.08)</f>
        <v>1.4813066335061187</v>
      </c>
      <c r="I98" s="9">
        <f>MIN(5,ROUNDUP(Tabelle14[[#This Row],[Wasser Normallisiert]]*2,0)/2)</f>
        <v>1.5</v>
      </c>
    </row>
    <row r="99" spans="2:9" ht="15" customHeight="1" x14ac:dyDescent="0.25">
      <c r="B99" s="10">
        <v>97</v>
      </c>
      <c r="C99" s="12" t="s">
        <v>242</v>
      </c>
      <c r="D99" s="6">
        <v>286</v>
      </c>
      <c r="E99" s="7">
        <f>((Tabelle14[[#This Row],[CO2 /100g]]^(1/3.3))*0.9)-2.26</f>
        <v>2.7356942763792382</v>
      </c>
      <c r="F99" s="7">
        <f>MIN(5,ROUNDUP(Tabelle14[[#This Row],[CO2 Normallisiert]]*2,0)/2)</f>
        <v>3</v>
      </c>
      <c r="G99" s="6">
        <v>115</v>
      </c>
      <c r="H99" s="6">
        <f>MAX(0,((Tabelle14[[#This Row],[Wasser / 100g]]^(1/3.5))*0.95)-2.08)</f>
        <v>1.6054830385694356</v>
      </c>
      <c r="I99" s="6">
        <f>MIN(5,ROUNDUP(Tabelle14[[#This Row],[Wasser Normallisiert]]*2,0)/2)</f>
        <v>2</v>
      </c>
    </row>
    <row r="100" spans="2:9" ht="15" customHeight="1" x14ac:dyDescent="0.25">
      <c r="B100" s="10">
        <v>98</v>
      </c>
      <c r="C100" s="12" t="s">
        <v>243</v>
      </c>
      <c r="D100" s="6">
        <v>148</v>
      </c>
      <c r="E100" s="7">
        <f>((Tabelle14[[#This Row],[CO2 /100g]]^(1/3.3))*0.9)-2.26</f>
        <v>1.8316414987190512</v>
      </c>
      <c r="F100" s="7">
        <f>MIN(5,ROUNDUP(Tabelle14[[#This Row],[CO2 Normallisiert]]*2,0)/2)</f>
        <v>2</v>
      </c>
      <c r="G100" s="9">
        <v>100</v>
      </c>
      <c r="H100" s="6">
        <f>MAX(0,((Tabelle14[[#This Row],[Wasser / 100g]]^(1/3.5))*0.95)-2.08)</f>
        <v>1.4612140342991928</v>
      </c>
      <c r="I100" s="9">
        <f>MIN(5,ROUNDUP(Tabelle14[[#This Row],[Wasser Normallisiert]]*2,0)/2)</f>
        <v>1.5</v>
      </c>
    </row>
    <row r="101" spans="2:9" ht="15" customHeight="1" x14ac:dyDescent="0.25">
      <c r="B101" s="10">
        <v>99</v>
      </c>
      <c r="C101" s="12" t="s">
        <v>244</v>
      </c>
      <c r="D101" s="6">
        <v>268</v>
      </c>
      <c r="E101" s="7">
        <f>((Tabelle14[[#This Row],[CO2 /100g]]^(1/3.3))*0.9)-2.26</f>
        <v>2.6382498276605553</v>
      </c>
      <c r="F101" s="7">
        <f>MIN(5,ROUNDUP(Tabelle14[[#This Row],[CO2 Normallisiert]]*2,0)/2)</f>
        <v>3</v>
      </c>
      <c r="G101" s="6">
        <v>203</v>
      </c>
      <c r="H101" s="6">
        <f>MAX(0,((Tabelle14[[#This Row],[Wasser / 100g]]^(1/3.5))*0.95)-2.08)</f>
        <v>2.2551905124142495</v>
      </c>
      <c r="I101" s="6">
        <f>MIN(5,ROUNDUP(Tabelle14[[#This Row],[Wasser Normallisiert]]*2,0)/2)</f>
        <v>2.5</v>
      </c>
    </row>
    <row r="102" spans="2:9" ht="15" customHeight="1" x14ac:dyDescent="0.25">
      <c r="B102" s="10">
        <v>100</v>
      </c>
      <c r="C102" s="12" t="s">
        <v>245</v>
      </c>
      <c r="D102" s="6">
        <v>989</v>
      </c>
      <c r="E102" s="7">
        <f>((Tabelle14[[#This Row],[CO2 /100g]]^(1/3.3))*0.9)-2.26</f>
        <v>5.0157496873887641</v>
      </c>
      <c r="F102" s="7">
        <f>MIN(5,ROUNDUP(Tabelle14[[#This Row],[CO2 Normallisiert]]*2,0)/2)</f>
        <v>5</v>
      </c>
      <c r="G102" s="9">
        <v>1039</v>
      </c>
      <c r="H102" s="6">
        <f>MAX(0,((Tabelle14[[#This Row],[Wasser / 100g]]^(1/3.5))*0.95)-2.08)</f>
        <v>4.8321596700052742</v>
      </c>
      <c r="I102" s="9">
        <f>MIN(5,ROUNDUP(Tabelle14[[#This Row],[Wasser Normallisiert]]*2,0)/2)</f>
        <v>5</v>
      </c>
    </row>
    <row r="103" spans="2:9" ht="15" customHeight="1" x14ac:dyDescent="0.25">
      <c r="B103" s="10">
        <v>101</v>
      </c>
      <c r="C103" s="12" t="s">
        <v>246</v>
      </c>
      <c r="D103" s="6">
        <v>792</v>
      </c>
      <c r="E103" s="6">
        <f>((Tabelle14[[#This Row],[CO2 /100g]]^(1/3.3))*0.9)-2.26</f>
        <v>4.5421167159279685</v>
      </c>
      <c r="F103" s="7">
        <f>MIN(5,ROUNDUP(Tabelle14[[#This Row],[CO2 Normallisiert]]*2,0)/2)</f>
        <v>5</v>
      </c>
      <c r="G103" s="9">
        <v>897</v>
      </c>
      <c r="H103" s="6">
        <f>MAX(0,((Tabelle14[[#This Row],[Wasser / 100g]]^(1/3.5))*0.95)-2.08)</f>
        <v>4.5479403165059438</v>
      </c>
      <c r="I103" s="6">
        <f>MIN(5,ROUNDUP(Tabelle14[[#This Row],[Wasser Normallisiert]]*2,0)/2)</f>
        <v>5</v>
      </c>
    </row>
    <row r="104" spans="2:9" ht="15" customHeight="1" x14ac:dyDescent="0.25">
      <c r="B104" s="10">
        <v>102</v>
      </c>
      <c r="C104" s="12" t="s">
        <v>247</v>
      </c>
      <c r="D104" s="6">
        <v>262</v>
      </c>
      <c r="E104" s="6">
        <f>((Tabelle14[[#This Row],[CO2 /100g]]^(1/3.3))*0.9)-2.26</f>
        <v>2.6047562260953745</v>
      </c>
      <c r="F104" s="7">
        <f>MIN(5,ROUNDUP(Tabelle14[[#This Row],[CO2 Normallisiert]]*2,0)/2)</f>
        <v>3</v>
      </c>
      <c r="G104" s="9">
        <v>248</v>
      </c>
      <c r="H104" s="6">
        <f>MAX(0,((Tabelle14[[#This Row],[Wasser / 100g]]^(1/3.5))*0.95)-2.08)</f>
        <v>2.5104224719662938</v>
      </c>
      <c r="I104" s="6">
        <f>MIN(5,ROUNDUP(Tabelle14[[#This Row],[Wasser Normallisiert]]*2,0)/2)</f>
        <v>3</v>
      </c>
    </row>
    <row r="105" spans="2:9" ht="15" customHeight="1" x14ac:dyDescent="0.25">
      <c r="B105" s="10">
        <v>103</v>
      </c>
      <c r="C105" s="12" t="s">
        <v>248</v>
      </c>
      <c r="D105" s="6">
        <v>120</v>
      </c>
      <c r="E105" s="6">
        <f>((Tabelle14[[#This Row],[CO2 /100g]]^(1/3.3))*0.9)-2.26</f>
        <v>1.5797012262651111</v>
      </c>
      <c r="F105" s="7">
        <f>MIN(5,ROUNDUP(Tabelle14[[#This Row],[CO2 Normallisiert]]*2,0)/2)</f>
        <v>2</v>
      </c>
      <c r="G105" s="9">
        <v>99</v>
      </c>
      <c r="H105" s="6">
        <f>MAX(0,((Tabelle14[[#This Row],[Wasser / 100g]]^(1/3.5))*0.95)-2.08)</f>
        <v>1.4510599371819746</v>
      </c>
      <c r="I105" s="6">
        <f>MIN(5,ROUNDUP(Tabelle14[[#This Row],[Wasser Normallisiert]]*2,0)/2)</f>
        <v>1.5</v>
      </c>
    </row>
    <row r="106" spans="2:9" ht="15" customHeight="1" x14ac:dyDescent="0.25">
      <c r="B106" s="10">
        <v>104</v>
      </c>
      <c r="C106" s="12" t="s">
        <v>249</v>
      </c>
      <c r="D106" s="6">
        <v>188</v>
      </c>
      <c r="E106" s="6">
        <f>((Tabelle14[[#This Row],[CO2 /100g]]^(1/3.3))*0.9)-2.26</f>
        <v>2.1392764276472471</v>
      </c>
      <c r="F106" s="7">
        <f>MIN(5,ROUNDUP(Tabelle14[[#This Row],[CO2 Normallisiert]]*2,0)/2)</f>
        <v>2.5</v>
      </c>
      <c r="G106" s="9">
        <v>254</v>
      </c>
      <c r="H106" s="6">
        <f>MAX(0,((Tabelle14[[#This Row],[Wasser / 100g]]^(1/3.5))*0.95)-2.08)</f>
        <v>2.5418830585135135</v>
      </c>
      <c r="I106" s="6">
        <f>MIN(5,ROUNDUP(Tabelle14[[#This Row],[Wasser Normallisiert]]*2,0)/2)</f>
        <v>3</v>
      </c>
    </row>
    <row r="107" spans="2:9" ht="15" customHeight="1" x14ac:dyDescent="0.25">
      <c r="B107" s="10">
        <v>105</v>
      </c>
      <c r="C107" s="12" t="s">
        <v>250</v>
      </c>
      <c r="D107" s="6">
        <v>236</v>
      </c>
      <c r="E107" s="6">
        <f>((Tabelle14[[#This Row],[CO2 /100g]]^(1/3.3))*0.9)-2.26</f>
        <v>2.4531010665806861</v>
      </c>
      <c r="F107" s="7">
        <f>MIN(5,ROUNDUP(Tabelle14[[#This Row],[CO2 Normallisiert]]*2,0)/2)</f>
        <v>2.5</v>
      </c>
      <c r="G107" s="9">
        <v>291</v>
      </c>
      <c r="H107" s="6">
        <f>MAX(0,((Tabelle14[[#This Row],[Wasser / 100g]]^(1/3.5))*0.95)-2.08)</f>
        <v>2.7249960027045486</v>
      </c>
      <c r="I107" s="6">
        <f>MIN(5,ROUNDUP(Tabelle14[[#This Row],[Wasser Normallisiert]]*2,0)/2)</f>
        <v>3</v>
      </c>
    </row>
    <row r="108" spans="2:9" ht="15" customHeight="1" x14ac:dyDescent="0.25">
      <c r="B108" s="10">
        <v>106</v>
      </c>
      <c r="C108" s="12" t="s">
        <v>251</v>
      </c>
      <c r="D108" s="6">
        <v>437</v>
      </c>
      <c r="E108" s="6">
        <f>((Tabelle14[[#This Row],[CO2 /100g]]^(1/3.3))*0.9)-2.26</f>
        <v>3.4205240048676222</v>
      </c>
      <c r="F108" s="7">
        <f>MIN(5,ROUNDUP(Tabelle14[[#This Row],[CO2 Normallisiert]]*2,0)/2)</f>
        <v>3.5</v>
      </c>
      <c r="G108" s="9">
        <v>442</v>
      </c>
      <c r="H108" s="6">
        <f>MAX(0,((Tabelle14[[#This Row],[Wasser / 100g]]^(1/3.5))*0.95)-2.08)</f>
        <v>3.3345022608160217</v>
      </c>
      <c r="I108" s="6">
        <f>MIN(5,ROUNDUP(Tabelle14[[#This Row],[Wasser Normallisiert]]*2,0)/2)</f>
        <v>3.5</v>
      </c>
    </row>
    <row r="109" spans="2:9" ht="15" customHeight="1" x14ac:dyDescent="0.25">
      <c r="B109" s="10">
        <v>107</v>
      </c>
      <c r="C109" s="12" t="s">
        <v>252</v>
      </c>
      <c r="D109" s="6">
        <v>400</v>
      </c>
      <c r="E109" s="6">
        <f>((Tabelle14[[#This Row],[CO2 /100g]]^(1/3.3))*0.9)-2.26</f>
        <v>3.2702598393113602</v>
      </c>
      <c r="F109" s="7">
        <f>MIN(5,ROUNDUP(Tabelle14[[#This Row],[CO2 Normallisiert]]*2,0)/2)</f>
        <v>3.5</v>
      </c>
      <c r="G109" s="9">
        <v>250</v>
      </c>
      <c r="H109" s="6">
        <f>MAX(0,((Tabelle14[[#This Row],[Wasser / 100g]]^(1/3.5))*0.95)-2.08)</f>
        <v>2.5209691581532354</v>
      </c>
      <c r="I109" s="6">
        <f>MIN(5,ROUNDUP(Tabelle14[[#This Row],[Wasser Normallisiert]]*2,0)/2)</f>
        <v>3</v>
      </c>
    </row>
    <row r="110" spans="2:9" ht="15" customHeight="1" x14ac:dyDescent="0.25">
      <c r="B110" s="10">
        <v>108</v>
      </c>
      <c r="C110" s="12" t="s">
        <v>253</v>
      </c>
      <c r="D110" s="6">
        <v>174</v>
      </c>
      <c r="E110" s="6">
        <f>((Tabelle14[[#This Row],[CO2 /100g]]^(1/3.3))*0.9)-2.26</f>
        <v>2.0373114158210459</v>
      </c>
      <c r="F110" s="7">
        <f>MIN(5,ROUNDUP(Tabelle14[[#This Row],[CO2 Normallisiert]]*2,0)/2)</f>
        <v>2.5</v>
      </c>
      <c r="G110" s="9">
        <v>150</v>
      </c>
      <c r="H110" s="6">
        <f>MAX(0,((Tabelle14[[#This Row],[Wasser / 100g]]^(1/3.5))*0.95)-2.08)</f>
        <v>1.8961610346231956</v>
      </c>
      <c r="I110" s="6">
        <f>MIN(5,ROUNDUP(Tabelle14[[#This Row],[Wasser Normallisiert]]*2,0)/2)</f>
        <v>2</v>
      </c>
    </row>
    <row r="111" spans="2:9" ht="15" customHeight="1" x14ac:dyDescent="0.25">
      <c r="B111" s="10">
        <v>109</v>
      </c>
      <c r="C111" s="12" t="s">
        <v>254</v>
      </c>
      <c r="D111" s="6">
        <v>28</v>
      </c>
      <c r="E111" s="6">
        <f>((Tabelle14[[#This Row],[CO2 /100g]]^(1/3.3))*0.9)-2.26</f>
        <v>0.21044532230296342</v>
      </c>
      <c r="F111" s="7">
        <f>MIN(5,ROUNDUP(Tabelle14[[#This Row],[CO2 Normallisiert]]*2,0)/2)</f>
        <v>0.5</v>
      </c>
      <c r="G111" s="9">
        <v>60</v>
      </c>
      <c r="H111" s="6">
        <f>MAX(0,((Tabelle14[[#This Row],[Wasser / 100g]]^(1/3.5))*0.95)-2.08)</f>
        <v>0.98031985315305681</v>
      </c>
      <c r="I111" s="6">
        <f>MIN(5,ROUNDUP(Tabelle14[[#This Row],[Wasser Normallisiert]]*2,0)/2)</f>
        <v>1</v>
      </c>
    </row>
    <row r="112" spans="2:9" ht="15" customHeight="1" x14ac:dyDescent="0.25">
      <c r="B112" s="10">
        <v>110</v>
      </c>
      <c r="C112" s="12" t="s">
        <v>255</v>
      </c>
      <c r="D112" s="6">
        <v>141</v>
      </c>
      <c r="E112" s="6">
        <f>((Tabelle14[[#This Row],[CO2 /100g]]^(1/3.3))*0.9)-2.26</f>
        <v>1.7720046883260885</v>
      </c>
      <c r="F112" s="7">
        <f>MIN(5,ROUNDUP(Tabelle14[[#This Row],[CO2 Normallisiert]]*2,0)/2)</f>
        <v>2</v>
      </c>
      <c r="G112" s="9">
        <v>138</v>
      </c>
      <c r="H112" s="6">
        <f>MAX(0,((Tabelle14[[#This Row],[Wasser / 100g]]^(1/3.5))*0.95)-2.08)</f>
        <v>1.8025551193100826</v>
      </c>
      <c r="I112" s="6">
        <f>MIN(5,ROUNDUP(Tabelle14[[#This Row],[Wasser Normallisiert]]*2,0)/2)</f>
        <v>2</v>
      </c>
    </row>
    <row r="113" spans="2:9" ht="15" customHeight="1" x14ac:dyDescent="0.25">
      <c r="B113" s="10">
        <v>111</v>
      </c>
      <c r="C113" s="12" t="s">
        <v>256</v>
      </c>
      <c r="D113" s="6">
        <v>31</v>
      </c>
      <c r="E113" s="6">
        <f>((Tabelle14[[#This Row],[CO2 /100g]]^(1/3.3))*0.9)-2.26</f>
        <v>0.28782911088564145</v>
      </c>
      <c r="F113" s="7">
        <f>MIN(5,ROUNDUP(Tabelle14[[#This Row],[CO2 Normallisiert]]*2,0)/2)</f>
        <v>0.5</v>
      </c>
      <c r="G113" s="9">
        <v>63</v>
      </c>
      <c r="H113" s="6">
        <f>MAX(0,((Tabelle14[[#This Row],[Wasser / 100g]]^(1/3.5))*0.95)-2.08)</f>
        <v>1.0232795901497371</v>
      </c>
      <c r="I113" s="6">
        <f>MIN(5,ROUNDUP(Tabelle14[[#This Row],[Wasser Normallisiert]]*2,0)/2)</f>
        <v>1.5</v>
      </c>
    </row>
    <row r="114" spans="2:9" ht="15" customHeight="1" x14ac:dyDescent="0.25">
      <c r="B114" s="10">
        <v>112</v>
      </c>
      <c r="C114" s="12" t="s">
        <v>257</v>
      </c>
      <c r="D114" s="6">
        <v>225</v>
      </c>
      <c r="E114" s="6">
        <f>((Tabelle14[[#This Row],[CO2 /100g]]^(1/3.3))*0.9)-2.26</f>
        <v>2.385421126422993</v>
      </c>
      <c r="F114" s="7">
        <f>MIN(5,ROUNDUP(Tabelle14[[#This Row],[CO2 Normallisiert]]*2,0)/2)</f>
        <v>2.5</v>
      </c>
      <c r="G114" s="9">
        <v>322</v>
      </c>
      <c r="H114" s="6">
        <f>MAX(0,((Tabelle14[[#This Row],[Wasser / 100g]]^(1/3.5))*0.95)-2.08)</f>
        <v>2.8659970653846081</v>
      </c>
      <c r="I114" s="6">
        <f>MIN(5,ROUNDUP(Tabelle14[[#This Row],[Wasser Normallisiert]]*2,0)/2)</f>
        <v>3</v>
      </c>
    </row>
    <row r="115" spans="2:9" ht="15" customHeight="1" x14ac:dyDescent="0.25">
      <c r="B115" s="10">
        <v>113</v>
      </c>
      <c r="C115" s="12" t="s">
        <v>258</v>
      </c>
      <c r="D115" s="6">
        <v>391</v>
      </c>
      <c r="E115" s="6">
        <f>((Tabelle14[[#This Row],[CO2 /100g]]^(1/3.3))*0.9)-2.26</f>
        <v>3.2322540495288532</v>
      </c>
      <c r="F115" s="7">
        <f>MIN(5,ROUNDUP(Tabelle14[[#This Row],[CO2 Normallisiert]]*2,0)/2)</f>
        <v>3.5</v>
      </c>
      <c r="G115" s="9">
        <v>399</v>
      </c>
      <c r="H115" s="6">
        <f>MAX(0,((Tabelle14[[#This Row],[Wasser / 100g]]^(1/3.5))*0.95)-2.08)</f>
        <v>3.1784617394593973</v>
      </c>
      <c r="I115" s="6">
        <f>MIN(5,ROUNDUP(Tabelle14[[#This Row],[Wasser Normallisiert]]*2,0)/2)</f>
        <v>3.5</v>
      </c>
    </row>
    <row r="116" spans="2:9" ht="15" customHeight="1" x14ac:dyDescent="0.25">
      <c r="B116" s="10">
        <v>114</v>
      </c>
      <c r="C116" s="12" t="s">
        <v>259</v>
      </c>
      <c r="D116" s="6">
        <v>190</v>
      </c>
      <c r="E116" s="6">
        <f>((Tabelle14[[#This Row],[CO2 /100g]]^(1/3.3))*0.9)-2.26</f>
        <v>2.1534062293835232</v>
      </c>
      <c r="F116" s="7">
        <f>MIN(5,ROUNDUP(Tabelle14[[#This Row],[CO2 Normallisiert]]*2,0)/2)</f>
        <v>2.5</v>
      </c>
      <c r="G116" s="9">
        <v>149</v>
      </c>
      <c r="H116" s="6">
        <f>MAX(0,((Tabelle14[[#This Row],[Wasser / 100g]]^(1/3.5))*0.95)-2.08)</f>
        <v>1.8885692930734401</v>
      </c>
      <c r="I116" s="6">
        <f>MIN(5,ROUNDUP(Tabelle14[[#This Row],[Wasser Normallisiert]]*2,0)/2)</f>
        <v>2</v>
      </c>
    </row>
    <row r="117" spans="2:9" ht="15" customHeight="1" x14ac:dyDescent="0.25">
      <c r="B117" s="10">
        <v>115</v>
      </c>
      <c r="C117" s="12" t="s">
        <v>260</v>
      </c>
      <c r="D117" s="6">
        <v>1054</v>
      </c>
      <c r="E117" s="6">
        <f>((Tabelle14[[#This Row],[CO2 /100g]]^(1/3.3))*0.9)-2.26</f>
        <v>5.1574532157882498</v>
      </c>
      <c r="F117" s="7">
        <f>MIN(5,ROUNDUP(Tabelle14[[#This Row],[CO2 Normallisiert]]*2,0)/2)</f>
        <v>5</v>
      </c>
      <c r="G117" s="9">
        <v>691</v>
      </c>
      <c r="H117" s="6">
        <f>MAX(0,((Tabelle14[[#This Row],[Wasser / 100g]]^(1/3.5))*0.95)-2.08)</f>
        <v>4.0718118935226144</v>
      </c>
      <c r="I117" s="6">
        <f>MIN(5,ROUNDUP(Tabelle14[[#This Row],[Wasser Normallisiert]]*2,0)/2)</f>
        <v>4.5</v>
      </c>
    </row>
    <row r="118" spans="2:9" ht="15" customHeight="1" x14ac:dyDescent="0.25">
      <c r="B118" s="10">
        <v>116</v>
      </c>
      <c r="C118" s="12" t="s">
        <v>261</v>
      </c>
      <c r="D118" s="6">
        <v>377</v>
      </c>
      <c r="E118" s="6">
        <f>((Tabelle14[[#This Row],[CO2 /100g]]^(1/3.3))*0.9)-2.26</f>
        <v>3.1719030444900245</v>
      </c>
      <c r="F118" s="7">
        <f>MIN(5,ROUNDUP(Tabelle14[[#This Row],[CO2 Normallisiert]]*2,0)/2)</f>
        <v>3.5</v>
      </c>
      <c r="G118" s="9">
        <v>390</v>
      </c>
      <c r="H118" s="6">
        <f>MAX(0,((Tabelle14[[#This Row],[Wasser / 100g]]^(1/3.5))*0.95)-2.08)</f>
        <v>3.144296040315079</v>
      </c>
      <c r="I118" s="6">
        <f>MIN(5,ROUNDUP(Tabelle14[[#This Row],[Wasser Normallisiert]]*2,0)/2)</f>
        <v>3.5</v>
      </c>
    </row>
    <row r="119" spans="2:9" ht="15" customHeight="1" x14ac:dyDescent="0.25">
      <c r="B119" s="10">
        <v>117</v>
      </c>
      <c r="C119" s="12" t="s">
        <v>262</v>
      </c>
      <c r="D119" s="6">
        <v>415</v>
      </c>
      <c r="E119" s="6">
        <f>((Tabelle14[[#This Row],[CO2 /100g]]^(1/3.3))*0.9)-2.26</f>
        <v>3.3322994380721713</v>
      </c>
      <c r="F119" s="7">
        <f>MIN(5,ROUNDUP(Tabelle14[[#This Row],[CO2 Normallisiert]]*2,0)/2)</f>
        <v>3.5</v>
      </c>
      <c r="G119" s="9">
        <v>443</v>
      </c>
      <c r="H119" s="6">
        <f>MAX(0,((Tabelle14[[#This Row],[Wasser / 100g]]^(1/3.5))*0.95)-2.08)</f>
        <v>3.3379994378725399</v>
      </c>
      <c r="I119" s="6">
        <f>MIN(5,ROUNDUP(Tabelle14[[#This Row],[Wasser Normallisiert]]*2,0)/2)</f>
        <v>3.5</v>
      </c>
    </row>
    <row r="120" spans="2:9" ht="15" customHeight="1" x14ac:dyDescent="0.25">
      <c r="B120" s="10">
        <v>118</v>
      </c>
      <c r="C120" s="12" t="s">
        <v>263</v>
      </c>
      <c r="D120" s="6">
        <v>107</v>
      </c>
      <c r="E120" s="6">
        <f>((Tabelle14[[#This Row],[CO2 /100g]]^(1/3.3))*0.9)-2.26</f>
        <v>1.4485769145811158</v>
      </c>
      <c r="F120" s="7">
        <f>MIN(5,ROUNDUP(Tabelle14[[#This Row],[CO2 Normallisiert]]*2,0)/2)</f>
        <v>1.5</v>
      </c>
      <c r="G120" s="9">
        <v>70</v>
      </c>
      <c r="H120" s="6">
        <f>MAX(0,((Tabelle14[[#This Row],[Wasser / 100g]]^(1/3.5))*0.95)-2.08)</f>
        <v>1.1181179272837181</v>
      </c>
      <c r="I120" s="6">
        <f>MIN(5,ROUNDUP(Tabelle14[[#This Row],[Wasser Normallisiert]]*2,0)/2)</f>
        <v>1.5</v>
      </c>
    </row>
    <row r="121" spans="2:9" ht="15" customHeight="1" x14ac:dyDescent="0.25">
      <c r="B121" s="10">
        <v>119</v>
      </c>
      <c r="C121" s="12" t="s">
        <v>264</v>
      </c>
      <c r="D121" s="6">
        <v>179</v>
      </c>
      <c r="E121" s="6">
        <f>((Tabelle14[[#This Row],[CO2 /100g]]^(1/3.3))*0.9)-2.26</f>
        <v>2.0743626578853283</v>
      </c>
      <c r="F121" s="7">
        <f>MIN(5,ROUNDUP(Tabelle14[[#This Row],[CO2 Normallisiert]]*2,0)/2)</f>
        <v>2.5</v>
      </c>
      <c r="G121" s="9">
        <v>142</v>
      </c>
      <c r="H121" s="6">
        <f>MAX(0,((Tabelle14[[#This Row],[Wasser / 100g]]^(1/3.5))*0.95)-2.08)</f>
        <v>1.8343813381649823</v>
      </c>
      <c r="I121" s="6">
        <f>MIN(5,ROUNDUP(Tabelle14[[#This Row],[Wasser Normallisiert]]*2,0)/2)</f>
        <v>2</v>
      </c>
    </row>
    <row r="122" spans="2:9" ht="15" customHeight="1" x14ac:dyDescent="0.25">
      <c r="B122" s="10">
        <v>120</v>
      </c>
      <c r="C122" s="12" t="s">
        <v>265</v>
      </c>
      <c r="D122" s="6">
        <v>373</v>
      </c>
      <c r="E122" s="6">
        <f>((Tabelle14[[#This Row],[CO2 /100g]]^(1/3.3))*0.9)-2.26</f>
        <v>3.1543735576230079</v>
      </c>
      <c r="F122" s="7">
        <f>MIN(5,ROUNDUP(Tabelle14[[#This Row],[CO2 Normallisiert]]*2,0)/2)</f>
        <v>3.5</v>
      </c>
      <c r="G122" s="9">
        <v>471</v>
      </c>
      <c r="H122" s="6">
        <f>MAX(0,((Tabelle14[[#This Row],[Wasser / 100g]]^(1/3.5))*0.95)-2.08)</f>
        <v>3.4337092931271949</v>
      </c>
      <c r="I122" s="6">
        <f>MIN(5,ROUNDUP(Tabelle14[[#This Row],[Wasser Normallisiert]]*2,0)/2)</f>
        <v>3.5</v>
      </c>
    </row>
    <row r="123" spans="2:9" ht="15" customHeight="1" x14ac:dyDescent="0.25">
      <c r="B123" s="10">
        <v>121</v>
      </c>
      <c r="C123" s="12" t="s">
        <v>266</v>
      </c>
      <c r="D123" s="6">
        <v>182</v>
      </c>
      <c r="E123" s="6">
        <f>((Tabelle14[[#This Row],[CO2 /100g]]^(1/3.3))*0.9)-2.26</f>
        <v>2.0962483105249579</v>
      </c>
      <c r="F123" s="7">
        <f>MIN(5,ROUNDUP(Tabelle14[[#This Row],[CO2 Normallisiert]]*2,0)/2)</f>
        <v>2.5</v>
      </c>
      <c r="G123" s="9">
        <v>227</v>
      </c>
      <c r="H123" s="6">
        <f>MAX(0,((Tabelle14[[#This Row],[Wasser / 100g]]^(1/3.5))*0.95)-2.08)</f>
        <v>2.3958327548922576</v>
      </c>
      <c r="I123" s="6">
        <f>MIN(5,ROUNDUP(Tabelle14[[#This Row],[Wasser Normallisiert]]*2,0)/2)</f>
        <v>2.5</v>
      </c>
    </row>
    <row r="124" spans="2:9" ht="15" customHeight="1" x14ac:dyDescent="0.25">
      <c r="B124" s="10">
        <v>122</v>
      </c>
      <c r="C124" s="12" t="s">
        <v>267</v>
      </c>
      <c r="D124" s="6">
        <v>334</v>
      </c>
      <c r="E124" s="6">
        <f>((Tabelle14[[#This Row],[CO2 /100g]]^(1/3.3))*0.9)-2.26</f>
        <v>2.9761751594242041</v>
      </c>
      <c r="F124" s="7">
        <f>MIN(5,ROUNDUP(Tabelle14[[#This Row],[CO2 Normallisiert]]*2,0)/2)</f>
        <v>3</v>
      </c>
      <c r="G124" s="9">
        <v>137</v>
      </c>
      <c r="H124" s="6">
        <f>MAX(0,((Tabelle14[[#This Row],[Wasser / 100g]]^(1/3.5))*0.95)-2.08)</f>
        <v>1.7944958129908057</v>
      </c>
      <c r="I124" s="6">
        <f>MIN(5,ROUNDUP(Tabelle14[[#This Row],[Wasser Normallisiert]]*2,0)/2)</f>
        <v>2</v>
      </c>
    </row>
    <row r="125" spans="2:9" ht="15" customHeight="1" x14ac:dyDescent="0.25">
      <c r="B125" s="10">
        <v>123</v>
      </c>
      <c r="C125" s="12" t="s">
        <v>268</v>
      </c>
      <c r="D125" s="6">
        <v>110</v>
      </c>
      <c r="E125" s="6">
        <f>((Tabelle14[[#This Row],[CO2 /100g]]^(1/3.3))*0.9)-2.26</f>
        <v>1.4797825722566564</v>
      </c>
      <c r="F125" s="7">
        <f>MIN(5,ROUNDUP(Tabelle14[[#This Row],[CO2 Normallisiert]]*2,0)/2)</f>
        <v>1.5</v>
      </c>
      <c r="G125" s="9">
        <v>79</v>
      </c>
      <c r="H125" s="6">
        <f>MAX(0,((Tabelle14[[#This Row],[Wasser / 100g]]^(1/3.5))*0.95)-2.08)</f>
        <v>1.2305699925330109</v>
      </c>
      <c r="I125" s="6">
        <f>MIN(5,ROUNDUP(Tabelle14[[#This Row],[Wasser Normallisiert]]*2,0)/2)</f>
        <v>1.5</v>
      </c>
    </row>
    <row r="126" spans="2:9" ht="15" customHeight="1" x14ac:dyDescent="0.25">
      <c r="B126" s="10">
        <v>124</v>
      </c>
      <c r="C126" s="12" t="s">
        <v>269</v>
      </c>
      <c r="D126" s="6">
        <v>444</v>
      </c>
      <c r="E126" s="6">
        <f>((Tabelle14[[#This Row],[CO2 /100g]]^(1/3.3))*0.9)-2.26</f>
        <v>3.4479449129342443</v>
      </c>
      <c r="F126" s="7">
        <f>MIN(5,ROUNDUP(Tabelle14[[#This Row],[CO2 Normallisiert]]*2,0)/2)</f>
        <v>3.5</v>
      </c>
      <c r="G126" s="9">
        <v>479</v>
      </c>
      <c r="H126" s="6">
        <f>MAX(0,((Tabelle14[[#This Row],[Wasser / 100g]]^(1/3.5))*0.95)-2.08)</f>
        <v>3.4603059975250607</v>
      </c>
      <c r="I126" s="6">
        <f>MIN(5,ROUNDUP(Tabelle14[[#This Row],[Wasser Normallisiert]]*2,0)/2)</f>
        <v>3.5</v>
      </c>
    </row>
    <row r="127" spans="2:9" ht="15" customHeight="1" x14ac:dyDescent="0.25">
      <c r="B127" s="10">
        <v>125</v>
      </c>
      <c r="C127" s="12" t="s">
        <v>270</v>
      </c>
      <c r="D127" s="6">
        <v>86</v>
      </c>
      <c r="E127" s="6">
        <f>((Tabelle14[[#This Row],[CO2 /100g]]^(1/3.3))*0.9)-2.26</f>
        <v>1.2109963847764038</v>
      </c>
      <c r="F127" s="7">
        <f>MIN(5,ROUNDUP(Tabelle14[[#This Row],[CO2 Normallisiert]]*2,0)/2)</f>
        <v>1.5</v>
      </c>
      <c r="G127" s="9">
        <v>78</v>
      </c>
      <c r="H127" s="6">
        <f>MAX(0,((Tabelle14[[#This Row],[Wasser / 100g]]^(1/3.5))*0.95)-2.08)</f>
        <v>1.2185423411846568</v>
      </c>
      <c r="I127" s="6">
        <f>MIN(5,ROUNDUP(Tabelle14[[#This Row],[Wasser Normallisiert]]*2,0)/2)</f>
        <v>1.5</v>
      </c>
    </row>
    <row r="128" spans="2:9" ht="15" customHeight="1" x14ac:dyDescent="0.25">
      <c r="B128" s="10">
        <v>126</v>
      </c>
      <c r="C128" s="12" t="s">
        <v>271</v>
      </c>
      <c r="D128" s="6">
        <v>215</v>
      </c>
      <c r="E128" s="6">
        <f>((Tabelle14[[#This Row],[CO2 /100g]]^(1/3.3))*0.9)-2.26</f>
        <v>2.3218624020422913</v>
      </c>
      <c r="F128" s="7">
        <f>MIN(5,ROUNDUP(Tabelle14[[#This Row],[CO2 Normallisiert]]*2,0)/2)</f>
        <v>2.5</v>
      </c>
      <c r="G128" s="9">
        <v>176</v>
      </c>
      <c r="H128" s="6">
        <f>MAX(0,((Tabelle14[[#This Row],[Wasser / 100g]]^(1/3.5))*0.95)-2.08)</f>
        <v>2.0819671997422002</v>
      </c>
      <c r="I128" s="6">
        <f>MIN(5,ROUNDUP(Tabelle14[[#This Row],[Wasser Normallisiert]]*2,0)/2)</f>
        <v>2.5</v>
      </c>
    </row>
    <row r="129" spans="2:9" ht="15" customHeight="1" x14ac:dyDescent="0.25">
      <c r="B129" s="10">
        <v>127</v>
      </c>
      <c r="C129" s="12" t="s">
        <v>272</v>
      </c>
      <c r="D129" s="6">
        <v>240</v>
      </c>
      <c r="E129" s="6">
        <f>((Tabelle14[[#This Row],[CO2 /100g]]^(1/3.3))*0.9)-2.26</f>
        <v>2.4771664333475449</v>
      </c>
      <c r="F129" s="7">
        <f>MIN(5,ROUNDUP(Tabelle14[[#This Row],[CO2 Normallisiert]]*2,0)/2)</f>
        <v>2.5</v>
      </c>
      <c r="G129" s="9">
        <v>277</v>
      </c>
      <c r="H129" s="6">
        <f>MAX(0,((Tabelle14[[#This Row],[Wasser / 100g]]^(1/3.5))*0.95)-2.08)</f>
        <v>2.6577808465134014</v>
      </c>
      <c r="I129" s="6">
        <f>MIN(5,ROUNDUP(Tabelle14[[#This Row],[Wasser Normallisiert]]*2,0)/2)</f>
        <v>3</v>
      </c>
    </row>
    <row r="130" spans="2:9" ht="15" customHeight="1" x14ac:dyDescent="0.25">
      <c r="B130" s="10">
        <v>128</v>
      </c>
      <c r="C130" s="12" t="s">
        <v>273</v>
      </c>
      <c r="D130" s="6">
        <v>157</v>
      </c>
      <c r="E130" s="6">
        <f>((Tabelle14[[#This Row],[CO2 /100g]]^(1/3.3))*0.9)-2.26</f>
        <v>1.9054952784073569</v>
      </c>
      <c r="F130" s="7">
        <f>MIN(5,ROUNDUP(Tabelle14[[#This Row],[CO2 Normallisiert]]*2,0)/2)</f>
        <v>2</v>
      </c>
      <c r="G130" s="9">
        <v>131</v>
      </c>
      <c r="H130" s="6">
        <f>MAX(0,((Tabelle14[[#This Row],[Wasser / 100g]]^(1/3.5))*0.95)-2.08)</f>
        <v>1.7452362364205776</v>
      </c>
      <c r="I130" s="6">
        <f>MIN(5,ROUNDUP(Tabelle14[[#This Row],[Wasser Normallisiert]]*2,0)/2)</f>
        <v>2</v>
      </c>
    </row>
    <row r="131" spans="2:9" ht="15" customHeight="1" x14ac:dyDescent="0.25">
      <c r="B131" s="10">
        <v>129</v>
      </c>
      <c r="C131" s="12" t="s">
        <v>274</v>
      </c>
      <c r="D131" s="6">
        <v>272</v>
      </c>
      <c r="E131" s="6">
        <f>((Tabelle14[[#This Row],[CO2 /100g]]^(1/3.3))*0.9)-2.26</f>
        <v>2.660289563881145</v>
      </c>
      <c r="F131" s="7">
        <f>MIN(5,ROUNDUP(Tabelle14[[#This Row],[CO2 Normallisiert]]*2,0)/2)</f>
        <v>3</v>
      </c>
      <c r="G131" s="9">
        <v>279</v>
      </c>
      <c r="H131" s="6">
        <f>MAX(0,((Tabelle14[[#This Row],[Wasser / 100g]]^(1/3.5))*0.95)-2.08)</f>
        <v>2.6675294054276817</v>
      </c>
      <c r="I131" s="6">
        <f>MIN(5,ROUNDUP(Tabelle14[[#This Row],[Wasser Normallisiert]]*2,0)/2)</f>
        <v>3</v>
      </c>
    </row>
    <row r="132" spans="2:9" ht="15" customHeight="1" x14ac:dyDescent="0.25">
      <c r="B132" s="10">
        <v>130</v>
      </c>
      <c r="C132" s="12" t="s">
        <v>275</v>
      </c>
      <c r="D132" s="6">
        <v>162</v>
      </c>
      <c r="E132" s="6">
        <f>((Tabelle14[[#This Row],[CO2 /100g]]^(1/3.3))*0.9)-2.26</f>
        <v>1.9452567234168869</v>
      </c>
      <c r="F132" s="7">
        <f>MIN(5,ROUNDUP(Tabelle14[[#This Row],[CO2 Normallisiert]]*2,0)/2)</f>
        <v>2</v>
      </c>
      <c r="G132" s="9">
        <v>124</v>
      </c>
      <c r="H132" s="6">
        <f>MAX(0,((Tabelle14[[#This Row],[Wasser / 100g]]^(1/3.5))*0.95)-2.08)</f>
        <v>1.6856858527659315</v>
      </c>
      <c r="I132" s="6">
        <f>MIN(5,ROUNDUP(Tabelle14[[#This Row],[Wasser Normallisiert]]*2,0)/2)</f>
        <v>2</v>
      </c>
    </row>
    <row r="133" spans="2:9" ht="15" customHeight="1" x14ac:dyDescent="0.25">
      <c r="B133" s="10">
        <v>131</v>
      </c>
      <c r="C133" s="12" t="s">
        <v>276</v>
      </c>
      <c r="D133" s="6">
        <v>261</v>
      </c>
      <c r="E133" s="6">
        <f>((Tabelle14[[#This Row],[CO2 /100g]]^(1/3.3))*0.9)-2.26</f>
        <v>2.59912212845569</v>
      </c>
      <c r="F133" s="7">
        <f>MIN(5,ROUNDUP(Tabelle14[[#This Row],[CO2 Normallisiert]]*2,0)/2)</f>
        <v>3</v>
      </c>
      <c r="G133" s="9">
        <v>225</v>
      </c>
      <c r="H133" s="6">
        <f>MAX(0,((Tabelle14[[#This Row],[Wasser / 100g]]^(1/3.5))*0.95)-2.08)</f>
        <v>2.3845300792683028</v>
      </c>
      <c r="I133" s="6">
        <f>MIN(5,ROUNDUP(Tabelle14[[#This Row],[Wasser Normallisiert]]*2,0)/2)</f>
        <v>2.5</v>
      </c>
    </row>
    <row r="134" spans="2:9" ht="15" customHeight="1" x14ac:dyDescent="0.25">
      <c r="B134" s="10">
        <v>132</v>
      </c>
      <c r="C134" s="12" t="s">
        <v>277</v>
      </c>
      <c r="D134" s="6">
        <v>39</v>
      </c>
      <c r="E134" s="6">
        <f>((Tabelle14[[#This Row],[CO2 /100g]]^(1/3.3))*0.9)-2.26</f>
        <v>0.4713873860875526</v>
      </c>
      <c r="F134" s="7">
        <f>MIN(5,ROUNDUP(Tabelle14[[#This Row],[CO2 Normallisiert]]*2,0)/2)</f>
        <v>0.5</v>
      </c>
      <c r="G134" s="9">
        <v>33</v>
      </c>
      <c r="H134" s="6">
        <f>MAX(0,((Tabelle14[[#This Row],[Wasser / 100g]]^(1/3.5))*0.95)-2.08)</f>
        <v>0.49979223347876012</v>
      </c>
      <c r="I134" s="6">
        <f>MIN(5,ROUNDUP(Tabelle14[[#This Row],[Wasser Normallisiert]]*2,0)/2)</f>
        <v>0.5</v>
      </c>
    </row>
    <row r="135" spans="2:9" ht="15" customHeight="1" x14ac:dyDescent="0.25">
      <c r="B135" s="10">
        <v>133</v>
      </c>
      <c r="C135" s="12" t="s">
        <v>278</v>
      </c>
      <c r="D135" s="6">
        <v>281</v>
      </c>
      <c r="E135" s="6">
        <f>((Tabelle14[[#This Row],[CO2 /100g]]^(1/3.3))*0.9)-2.26</f>
        <v>2.7090655701765813</v>
      </c>
      <c r="F135" s="7">
        <f>MIN(5,ROUNDUP(Tabelle14[[#This Row],[CO2 Normallisiert]]*2,0)/2)</f>
        <v>3</v>
      </c>
      <c r="G135" s="9">
        <v>198</v>
      </c>
      <c r="H135" s="6">
        <f>MAX(0,((Tabelle14[[#This Row],[Wasser / 100g]]^(1/3.5))*0.95)-2.08)</f>
        <v>2.2244102772392242</v>
      </c>
      <c r="I135" s="6">
        <f>MIN(5,ROUNDUP(Tabelle14[[#This Row],[Wasser Normallisiert]]*2,0)/2)</f>
        <v>2.5</v>
      </c>
    </row>
    <row r="136" spans="2:9" ht="15" customHeight="1" x14ac:dyDescent="0.25">
      <c r="B136" s="10">
        <v>134</v>
      </c>
      <c r="C136" s="12" t="s">
        <v>279</v>
      </c>
      <c r="D136" s="6">
        <v>266</v>
      </c>
      <c r="E136" s="6">
        <f>((Tabelle14[[#This Row],[CO2 /100g]]^(1/3.3))*0.9)-2.26</f>
        <v>2.6271438972573105</v>
      </c>
      <c r="F136" s="7">
        <f>MIN(5,ROUNDUP(Tabelle14[[#This Row],[CO2 Normallisiert]]*2,0)/2)</f>
        <v>3</v>
      </c>
      <c r="G136" s="9">
        <v>81</v>
      </c>
      <c r="H136" s="6">
        <f>MAX(0,((Tabelle14[[#This Row],[Wasser / 100g]]^(1/3.5))*0.95)-2.08)</f>
        <v>1.2543028163622574</v>
      </c>
      <c r="I136" s="6">
        <f>MIN(5,ROUNDUP(Tabelle14[[#This Row],[Wasser Normallisiert]]*2,0)/2)</f>
        <v>1.5</v>
      </c>
    </row>
    <row r="137" spans="2:9" ht="15" customHeight="1" x14ac:dyDescent="0.25">
      <c r="B137" s="10">
        <v>135</v>
      </c>
      <c r="C137" s="12" t="s">
        <v>280</v>
      </c>
      <c r="D137" s="6">
        <v>296</v>
      </c>
      <c r="E137" s="6">
        <f>((Tabelle14[[#This Row],[CO2 /100g]]^(1/3.3))*0.9)-2.26</f>
        <v>2.7879934825234889</v>
      </c>
      <c r="F137" s="7">
        <f>MIN(5,ROUNDUP(Tabelle14[[#This Row],[CO2 Normallisiert]]*2,0)/2)</f>
        <v>3</v>
      </c>
      <c r="G137" s="9">
        <v>281</v>
      </c>
      <c r="H137" s="6">
        <f>MAX(0,((Tabelle14[[#This Row],[Wasser / 100g]]^(1/3.5))*0.95)-2.08)</f>
        <v>2.6772281755233092</v>
      </c>
      <c r="I137" s="6">
        <f>MIN(5,ROUNDUP(Tabelle14[[#This Row],[Wasser Normallisiert]]*2,0)/2)</f>
        <v>3</v>
      </c>
    </row>
    <row r="138" spans="2:9" ht="15" customHeight="1" x14ac:dyDescent="0.25">
      <c r="B138" s="10">
        <v>136</v>
      </c>
      <c r="C138" s="12" t="s">
        <v>281</v>
      </c>
      <c r="D138" s="6">
        <v>598</v>
      </c>
      <c r="E138" s="6">
        <f>((Tabelle14[[#This Row],[CO2 /100g]]^(1/3.3))*0.9)-2.26</f>
        <v>3.9869367772574718</v>
      </c>
      <c r="F138" s="7">
        <f>MIN(5,ROUNDUP(Tabelle14[[#This Row],[CO2 Normallisiert]]*2,0)/2)</f>
        <v>4</v>
      </c>
      <c r="G138" s="9">
        <v>616</v>
      </c>
      <c r="H138" s="6">
        <f>MAX(0,((Tabelle14[[#This Row],[Wasser / 100g]]^(1/3.5))*0.95)-2.08)</f>
        <v>3.8731478124059349</v>
      </c>
      <c r="I138" s="6">
        <f>MIN(5,ROUNDUP(Tabelle14[[#This Row],[Wasser Normallisiert]]*2,0)/2)</f>
        <v>4</v>
      </c>
    </row>
    <row r="139" spans="2:9" ht="15" customHeight="1" x14ac:dyDescent="0.25">
      <c r="B139" s="10">
        <v>137</v>
      </c>
      <c r="C139" s="12" t="s">
        <v>282</v>
      </c>
      <c r="D139" s="6">
        <v>403</v>
      </c>
      <c r="E139" s="6">
        <f>((Tabelle14[[#This Row],[CO2 /100g]]^(1/3.3))*0.9)-2.26</f>
        <v>3.2827959001365707</v>
      </c>
      <c r="F139" s="7">
        <f>MIN(5,ROUNDUP(Tabelle14[[#This Row],[CO2 Normallisiert]]*2,0)/2)</f>
        <v>3.5</v>
      </c>
      <c r="G139" s="9">
        <v>488</v>
      </c>
      <c r="H139" s="6">
        <f>MAX(0,((Tabelle14[[#This Row],[Wasser / 100g]]^(1/3.5))*0.95)-2.08)</f>
        <v>3.4898507048500393</v>
      </c>
      <c r="I139" s="6">
        <f>MIN(5,ROUNDUP(Tabelle14[[#This Row],[Wasser Normallisiert]]*2,0)/2)</f>
        <v>3.5</v>
      </c>
    </row>
    <row r="140" spans="2:9" ht="15" customHeight="1" x14ac:dyDescent="0.25">
      <c r="B140" s="10">
        <v>138</v>
      </c>
      <c r="C140" s="12" t="s">
        <v>283</v>
      </c>
      <c r="D140" s="6">
        <v>49</v>
      </c>
      <c r="E140" s="6">
        <f>((Tabelle14[[#This Row],[CO2 /100g]]^(1/3.3))*0.9)-2.26</f>
        <v>0.66700281258015748</v>
      </c>
      <c r="F140" s="7">
        <f>MIN(5,ROUNDUP(Tabelle14[[#This Row],[CO2 Normallisiert]]*2,0)/2)</f>
        <v>1</v>
      </c>
      <c r="G140" s="9">
        <v>50</v>
      </c>
      <c r="H140" s="6">
        <f>MAX(0,((Tabelle14[[#This Row],[Wasser / 100g]]^(1/3.5))*0.95)-2.08)</f>
        <v>0.82498307552607208</v>
      </c>
      <c r="I140" s="6">
        <f>MIN(5,ROUNDUP(Tabelle14[[#This Row],[Wasser Normallisiert]]*2,0)/2)</f>
        <v>1</v>
      </c>
    </row>
    <row r="141" spans="2:9" ht="15" customHeight="1" x14ac:dyDescent="0.25">
      <c r="B141" s="10">
        <v>139</v>
      </c>
      <c r="C141" s="12" t="s">
        <v>284</v>
      </c>
      <c r="D141" s="6">
        <v>99</v>
      </c>
      <c r="E141" s="6">
        <f>((Tabelle14[[#This Row],[CO2 /100g]]^(1/3.3))*0.9)-2.26</f>
        <v>1.3622668988148519</v>
      </c>
      <c r="F141" s="7">
        <f>MIN(5,ROUNDUP(Tabelle14[[#This Row],[CO2 Normallisiert]]*2,0)/2)</f>
        <v>1.5</v>
      </c>
      <c r="G141" s="9">
        <v>76</v>
      </c>
      <c r="H141" s="6">
        <f>MAX(0,((Tabelle14[[#This Row],[Wasser / 100g]]^(1/3.5))*0.95)-2.08)</f>
        <v>1.1941526033948113</v>
      </c>
      <c r="I141" s="6">
        <f>MIN(5,ROUNDUP(Tabelle14[[#This Row],[Wasser Normallisiert]]*2,0)/2)</f>
        <v>1.5</v>
      </c>
    </row>
    <row r="142" spans="2:9" ht="15" customHeight="1" x14ac:dyDescent="0.25">
      <c r="B142" s="10">
        <v>140</v>
      </c>
      <c r="C142" s="12" t="s">
        <v>285</v>
      </c>
      <c r="D142" s="6">
        <v>196</v>
      </c>
      <c r="E142" s="6">
        <f>((Tabelle14[[#This Row],[CO2 /100g]]^(1/3.3))*0.9)-2.26</f>
        <v>2.1951831400588677</v>
      </c>
      <c r="F142" s="7">
        <f>MIN(5,ROUNDUP(Tabelle14[[#This Row],[CO2 Normallisiert]]*2,0)/2)</f>
        <v>2.5</v>
      </c>
      <c r="G142" s="9">
        <v>139</v>
      </c>
      <c r="H142" s="6">
        <f>MAX(0,((Tabelle14[[#This Row],[Wasser / 100g]]^(1/3.5))*0.95)-2.08)</f>
        <v>1.8105728180720528</v>
      </c>
      <c r="I142" s="6">
        <f>MIN(5,ROUNDUP(Tabelle14[[#This Row],[Wasser Normallisiert]]*2,0)/2)</f>
        <v>2</v>
      </c>
    </row>
    <row r="143" spans="2:9" ht="15" customHeight="1" x14ac:dyDescent="0.25">
      <c r="B143" s="10">
        <v>141</v>
      </c>
      <c r="C143" s="12" t="s">
        <v>286</v>
      </c>
      <c r="D143" s="6">
        <v>352</v>
      </c>
      <c r="E143" s="6">
        <f>((Tabelle14[[#This Row],[CO2 /100g]]^(1/3.3))*0.9)-2.26</f>
        <v>3.0601282826430269</v>
      </c>
      <c r="F143" s="7">
        <f>MIN(5,ROUNDUP(Tabelle14[[#This Row],[CO2 Normallisiert]]*2,0)/2)</f>
        <v>3.5</v>
      </c>
      <c r="G143" s="9">
        <v>370</v>
      </c>
      <c r="H143" s="6">
        <f>MAX(0,((Tabelle14[[#This Row],[Wasser / 100g]]^(1/3.5))*0.95)-2.08)</f>
        <v>3.0663050591777132</v>
      </c>
      <c r="I143" s="6">
        <f>MIN(5,ROUNDUP(Tabelle14[[#This Row],[Wasser Normallisiert]]*2,0)/2)</f>
        <v>3.5</v>
      </c>
    </row>
    <row r="144" spans="2:9" ht="15" customHeight="1" x14ac:dyDescent="0.25">
      <c r="B144" s="10">
        <v>142</v>
      </c>
      <c r="C144" s="12" t="s">
        <v>287</v>
      </c>
      <c r="D144" s="6">
        <v>997</v>
      </c>
      <c r="E144" s="6">
        <f>((Tabelle14[[#This Row],[CO2 /100g]]^(1/3.3))*0.9)-2.26</f>
        <v>5.033534002145033</v>
      </c>
      <c r="F144" s="7">
        <f>MIN(5,ROUNDUP(Tabelle14[[#This Row],[CO2 Normallisiert]]*2,0)/2)</f>
        <v>5</v>
      </c>
      <c r="G144" s="9">
        <v>1100</v>
      </c>
      <c r="H144" s="6">
        <f>MAX(0,((Tabelle14[[#This Row],[Wasser / 100g]]^(1/3.5))*0.95)-2.08)</f>
        <v>4.9457540741842445</v>
      </c>
      <c r="I144" s="6">
        <f>MIN(5,ROUNDUP(Tabelle14[[#This Row],[Wasser Normallisiert]]*2,0)/2)</f>
        <v>5</v>
      </c>
    </row>
    <row r="145" spans="2:9" ht="15" customHeight="1" x14ac:dyDescent="0.25">
      <c r="B145" s="10">
        <v>143</v>
      </c>
      <c r="C145" s="12" t="s">
        <v>288</v>
      </c>
      <c r="D145" s="6">
        <v>162</v>
      </c>
      <c r="E145" s="6">
        <f>((Tabelle14[[#This Row],[CO2 /100g]]^(1/3.3))*0.9)-2.26</f>
        <v>1.9452567234168869</v>
      </c>
      <c r="F145" s="7">
        <f>MIN(5,ROUNDUP(Tabelle14[[#This Row],[CO2 Normallisiert]]*2,0)/2)</f>
        <v>2</v>
      </c>
      <c r="G145" s="9">
        <v>157</v>
      </c>
      <c r="H145" s="6">
        <f>MAX(0,((Tabelle14[[#This Row],[Wasser / 100g]]^(1/3.5))*0.95)-2.08)</f>
        <v>1.9483157649884291</v>
      </c>
      <c r="I145" s="6">
        <f>MIN(5,ROUNDUP(Tabelle14[[#This Row],[Wasser Normallisiert]]*2,0)/2)</f>
        <v>2</v>
      </c>
    </row>
    <row r="146" spans="2:9" ht="15" customHeight="1" x14ac:dyDescent="0.25">
      <c r="B146" s="10">
        <v>144</v>
      </c>
      <c r="C146" s="12" t="s">
        <v>289</v>
      </c>
      <c r="D146" s="6">
        <v>363</v>
      </c>
      <c r="E146" s="6">
        <f>((Tabelle14[[#This Row],[CO2 /100g]]^(1/3.3))*0.9)-2.26</f>
        <v>3.1099691380078607</v>
      </c>
      <c r="F146" s="7">
        <f>MIN(5,ROUNDUP(Tabelle14[[#This Row],[CO2 Normallisiert]]*2,0)/2)</f>
        <v>3.5</v>
      </c>
      <c r="G146" s="9">
        <v>392</v>
      </c>
      <c r="H146" s="6">
        <f>MAX(0,((Tabelle14[[#This Row],[Wasser / 100g]]^(1/3.5))*0.95)-2.08)</f>
        <v>3.1519367079697957</v>
      </c>
      <c r="I146" s="6">
        <f>MIN(5,ROUNDUP(Tabelle14[[#This Row],[Wasser Normallisiert]]*2,0)/2)</f>
        <v>3.5</v>
      </c>
    </row>
    <row r="147" spans="2:9" ht="15" customHeight="1" x14ac:dyDescent="0.25">
      <c r="B147" s="10">
        <v>145</v>
      </c>
      <c r="C147" s="12" t="s">
        <v>290</v>
      </c>
      <c r="D147" s="6">
        <v>103</v>
      </c>
      <c r="E147" s="6">
        <f>((Tabelle14[[#This Row],[CO2 /100g]]^(1/3.3))*0.9)-2.26</f>
        <v>1.4060061027630808</v>
      </c>
      <c r="F147" s="7">
        <f>MIN(5,ROUNDUP(Tabelle14[[#This Row],[CO2 Normallisiert]]*2,0)/2)</f>
        <v>1.5</v>
      </c>
      <c r="G147" s="9">
        <v>69</v>
      </c>
      <c r="H147" s="6">
        <f>MAX(0,((Tabelle14[[#This Row],[Wasser / 100g]]^(1/3.5))*0.95)-2.08)</f>
        <v>1.1049972360185127</v>
      </c>
      <c r="I147" s="6">
        <f>MIN(5,ROUNDUP(Tabelle14[[#This Row],[Wasser Normallisiert]]*2,0)/2)</f>
        <v>1.5</v>
      </c>
    </row>
    <row r="148" spans="2:9" ht="15" customHeight="1" x14ac:dyDescent="0.25">
      <c r="B148" s="10">
        <v>146</v>
      </c>
      <c r="C148" s="12" t="s">
        <v>291</v>
      </c>
      <c r="D148" s="6">
        <v>261</v>
      </c>
      <c r="E148" s="6">
        <f>((Tabelle14[[#This Row],[CO2 /100g]]^(1/3.3))*0.9)-2.26</f>
        <v>2.59912212845569</v>
      </c>
      <c r="F148" s="7">
        <f>MIN(5,ROUNDUP(Tabelle14[[#This Row],[CO2 Normallisiert]]*2,0)/2)</f>
        <v>3</v>
      </c>
      <c r="G148" s="9">
        <v>221</v>
      </c>
      <c r="H148" s="6">
        <f>MAX(0,((Tabelle14[[#This Row],[Wasser / 100g]]^(1/3.5))*0.95)-2.08)</f>
        <v>2.361707639730672</v>
      </c>
      <c r="I148" s="6">
        <f>MIN(5,ROUNDUP(Tabelle14[[#This Row],[Wasser Normallisiert]]*2,0)/2)</f>
        <v>2.5</v>
      </c>
    </row>
    <row r="149" spans="2:9" ht="15" customHeight="1" x14ac:dyDescent="0.25">
      <c r="B149" s="10">
        <v>147</v>
      </c>
      <c r="C149" s="12" t="s">
        <v>292</v>
      </c>
      <c r="D149" s="6">
        <v>400</v>
      </c>
      <c r="E149" s="6">
        <f>((Tabelle14[[#This Row],[CO2 /100g]]^(1/3.3))*0.9)-2.26</f>
        <v>3.2702598393113602</v>
      </c>
      <c r="F149" s="7">
        <f>MIN(5,ROUNDUP(Tabelle14[[#This Row],[CO2 Normallisiert]]*2,0)/2)</f>
        <v>3.5</v>
      </c>
      <c r="G149" s="9">
        <v>435</v>
      </c>
      <c r="H149" s="6">
        <f>MAX(0,((Tabelle14[[#This Row],[Wasser / 100g]]^(1/3.5))*0.95)-2.08)</f>
        <v>3.3098624081601944</v>
      </c>
      <c r="I149" s="6">
        <f>MIN(5,ROUNDUP(Tabelle14[[#This Row],[Wasser Normallisiert]]*2,0)/2)</f>
        <v>3.5</v>
      </c>
    </row>
    <row r="150" spans="2:9" ht="15" customHeight="1" x14ac:dyDescent="0.25">
      <c r="B150" s="10">
        <v>148</v>
      </c>
      <c r="C150" s="12" t="s">
        <v>293</v>
      </c>
      <c r="D150" s="6">
        <v>100</v>
      </c>
      <c r="E150" s="6">
        <f>((Tabelle14[[#This Row],[CO2 /100g]]^(1/3.3))*0.9)-2.26</f>
        <v>1.3733155327369002</v>
      </c>
      <c r="F150" s="7">
        <f>MIN(5,ROUNDUP(Tabelle14[[#This Row],[CO2 Normallisiert]]*2,0)/2)</f>
        <v>1.5</v>
      </c>
      <c r="G150" s="9">
        <v>138</v>
      </c>
      <c r="H150" s="6">
        <f>MAX(0,((Tabelle14[[#This Row],[Wasser / 100g]]^(1/3.5))*0.95)-2.08)</f>
        <v>1.8025551193100826</v>
      </c>
      <c r="I150" s="6">
        <f>MIN(5,ROUNDUP(Tabelle14[[#This Row],[Wasser Normallisiert]]*2,0)/2)</f>
        <v>2</v>
      </c>
    </row>
    <row r="151" spans="2:9" ht="15" customHeight="1" x14ac:dyDescent="0.25">
      <c r="B151" s="10">
        <v>149</v>
      </c>
      <c r="C151" s="12" t="s">
        <v>294</v>
      </c>
      <c r="D151" s="6">
        <v>952</v>
      </c>
      <c r="E151" s="6">
        <f>((Tabelle14[[#This Row],[CO2 /100g]]^(1/3.3))*0.9)-2.26</f>
        <v>4.932167057850859</v>
      </c>
      <c r="F151" s="7">
        <f>MIN(5,ROUNDUP(Tabelle14[[#This Row],[CO2 Normallisiert]]*2,0)/2)</f>
        <v>5</v>
      </c>
      <c r="G151" s="9">
        <v>630</v>
      </c>
      <c r="H151" s="6">
        <f>MAX(0,((Tabelle14[[#This Row],[Wasser / 100g]]^(1/3.5))*0.95)-2.08)</f>
        <v>3.9114948567918413</v>
      </c>
      <c r="I151" s="6">
        <f>MIN(5,ROUNDUP(Tabelle14[[#This Row],[Wasser Normallisiert]]*2,0)/2)</f>
        <v>4</v>
      </c>
    </row>
    <row r="152" spans="2:9" ht="15" customHeight="1" x14ac:dyDescent="0.25">
      <c r="B152" s="10">
        <v>150</v>
      </c>
      <c r="C152" s="12" t="s">
        <v>295</v>
      </c>
      <c r="D152" s="6">
        <v>219</v>
      </c>
      <c r="E152" s="6">
        <f>((Tabelle14[[#This Row],[CO2 /100g]]^(1/3.3))*0.9)-2.26</f>
        <v>2.3475281662803464</v>
      </c>
      <c r="F152" s="7">
        <f>MIN(5,ROUNDUP(Tabelle14[[#This Row],[CO2 Normallisiert]]*2,0)/2)</f>
        <v>2.5</v>
      </c>
      <c r="G152" s="9">
        <v>207</v>
      </c>
      <c r="H152" s="6">
        <f>MAX(0,((Tabelle14[[#This Row],[Wasser / 100g]]^(1/3.5))*0.95)-2.08)</f>
        <v>2.2794270864886252</v>
      </c>
      <c r="I152" s="6">
        <f>MIN(5,ROUNDUP(Tabelle14[[#This Row],[Wasser Normallisiert]]*2,0)/2)</f>
        <v>2.5</v>
      </c>
    </row>
    <row r="153" spans="2:9" ht="15" customHeight="1" x14ac:dyDescent="0.25">
      <c r="B153" s="10">
        <v>151</v>
      </c>
      <c r="C153" s="12" t="s">
        <v>296</v>
      </c>
      <c r="D153" s="6">
        <v>124</v>
      </c>
      <c r="E153" s="6">
        <f>((Tabelle14[[#This Row],[CO2 /100g]]^(1/3.3))*0.9)-2.26</f>
        <v>1.6180438644549584</v>
      </c>
      <c r="F153" s="7">
        <f>MIN(5,ROUNDUP(Tabelle14[[#This Row],[CO2 Normallisiert]]*2,0)/2)</f>
        <v>2</v>
      </c>
      <c r="G153" s="9">
        <v>82</v>
      </c>
      <c r="H153" s="6">
        <f>MAX(0,((Tabelle14[[#This Row],[Wasser / 100g]]^(1/3.5))*0.95)-2.08)</f>
        <v>1.2660125312060875</v>
      </c>
      <c r="I153" s="6">
        <f>MIN(5,ROUNDUP(Tabelle14[[#This Row],[Wasser Normallisiert]]*2,0)/2)</f>
        <v>1.5</v>
      </c>
    </row>
    <row r="154" spans="2:9" ht="15" customHeight="1" x14ac:dyDescent="0.25">
      <c r="B154" s="10">
        <v>152</v>
      </c>
      <c r="C154" s="12" t="s">
        <v>297</v>
      </c>
      <c r="D154" s="6">
        <v>416</v>
      </c>
      <c r="E154" s="6">
        <f>((Tabelle14[[#This Row],[CO2 /100g]]^(1/3.3))*0.9)-2.26</f>
        <v>3.3363794744713173</v>
      </c>
      <c r="F154" s="7">
        <f>MIN(5,ROUNDUP(Tabelle14[[#This Row],[CO2 Normallisiert]]*2,0)/2)</f>
        <v>3.5</v>
      </c>
      <c r="G154" s="9">
        <v>294</v>
      </c>
      <c r="H154" s="6">
        <f>MAX(0,((Tabelle14[[#This Row],[Wasser / 100g]]^(1/3.5))*0.95)-2.08)</f>
        <v>2.7390973519134727</v>
      </c>
      <c r="I154" s="6">
        <f>MIN(5,ROUNDUP(Tabelle14[[#This Row],[Wasser Normallisiert]]*2,0)/2)</f>
        <v>3</v>
      </c>
    </row>
    <row r="155" spans="2:9" ht="15" customHeight="1" x14ac:dyDescent="0.25">
      <c r="B155" s="10">
        <v>153</v>
      </c>
      <c r="C155" s="12" t="s">
        <v>298</v>
      </c>
      <c r="D155" s="6">
        <v>155</v>
      </c>
      <c r="E155" s="6">
        <f>((Tabelle14[[#This Row],[CO2 /100g]]^(1/3.3))*0.9)-2.26</f>
        <v>1.889343487033833</v>
      </c>
      <c r="F155" s="7">
        <f>MIN(5,ROUNDUP(Tabelle14[[#This Row],[CO2 Normallisiert]]*2,0)/2)</f>
        <v>2</v>
      </c>
      <c r="G155" s="9">
        <v>208</v>
      </c>
      <c r="H155" s="6">
        <f>MAX(0,((Tabelle14[[#This Row],[Wasser / 100g]]^(1/3.5))*0.95)-2.08)</f>
        <v>2.2854338861311261</v>
      </c>
      <c r="I155" s="6">
        <f>MIN(5,ROUNDUP(Tabelle14[[#This Row],[Wasser Normallisiert]]*2,0)/2)</f>
        <v>2.5</v>
      </c>
    </row>
    <row r="156" spans="2:9" ht="15" customHeight="1" x14ac:dyDescent="0.25">
      <c r="B156" s="10">
        <v>154</v>
      </c>
      <c r="C156" s="12" t="s">
        <v>299</v>
      </c>
      <c r="D156" s="6">
        <v>815</v>
      </c>
      <c r="E156" s="6">
        <f>((Tabelle14[[#This Row],[CO2 /100g]]^(1/3.3))*0.9)-2.26</f>
        <v>4.6013801501223917</v>
      </c>
      <c r="F156" s="7">
        <f>MIN(5,ROUNDUP(Tabelle14[[#This Row],[CO2 Normallisiert]]*2,0)/2)</f>
        <v>5</v>
      </c>
      <c r="G156" s="9">
        <v>620</v>
      </c>
      <c r="H156" s="6">
        <f>MAX(0,((Tabelle14[[#This Row],[Wasser / 100g]]^(1/3.5))*0.95)-2.08)</f>
        <v>3.884167094065579</v>
      </c>
      <c r="I156" s="6">
        <f>MIN(5,ROUNDUP(Tabelle14[[#This Row],[Wasser Normallisiert]]*2,0)/2)</f>
        <v>4</v>
      </c>
    </row>
    <row r="157" spans="2:9" ht="15" customHeight="1" x14ac:dyDescent="0.25">
      <c r="B157" s="10">
        <v>155</v>
      </c>
      <c r="C157" s="12" t="s">
        <v>300</v>
      </c>
      <c r="D157" s="6">
        <v>511</v>
      </c>
      <c r="E157" s="6">
        <f>((Tabelle14[[#This Row],[CO2 /100g]]^(1/3.3))*0.9)-2.26</f>
        <v>3.6962938539466572</v>
      </c>
      <c r="F157" s="7">
        <f>MIN(5,ROUNDUP(Tabelle14[[#This Row],[CO2 Normallisiert]]*2,0)/2)</f>
        <v>4</v>
      </c>
      <c r="G157" s="9">
        <v>514</v>
      </c>
      <c r="H157" s="6">
        <f>MAX(0,((Tabelle14[[#This Row],[Wasser / 100g]]^(1/3.5))*0.95)-2.08)</f>
        <v>3.5730717340737828</v>
      </c>
      <c r="I157" s="6">
        <f>MIN(5,ROUNDUP(Tabelle14[[#This Row],[Wasser Normallisiert]]*2,0)/2)</f>
        <v>4</v>
      </c>
    </row>
    <row r="158" spans="2:9" ht="15" customHeight="1" x14ac:dyDescent="0.25">
      <c r="B158" s="10">
        <v>156</v>
      </c>
      <c r="C158" s="12" t="s">
        <v>301</v>
      </c>
      <c r="D158" s="6">
        <v>131</v>
      </c>
      <c r="E158" s="6">
        <f>((Tabelle14[[#This Row],[CO2 /100g]]^(1/3.3))*0.9)-2.26</f>
        <v>1.6831188896649083</v>
      </c>
      <c r="F158" s="7">
        <f>MIN(5,ROUNDUP(Tabelle14[[#This Row],[CO2 Normallisiert]]*2,0)/2)</f>
        <v>2</v>
      </c>
      <c r="G158" s="9">
        <v>91</v>
      </c>
      <c r="H158" s="6">
        <f>MAX(0,((Tabelle14[[#This Row],[Wasser / 100g]]^(1/3.5))*0.95)-2.08)</f>
        <v>1.3670669411820646</v>
      </c>
      <c r="I158" s="6">
        <f>MIN(5,ROUNDUP(Tabelle14[[#This Row],[Wasser Normallisiert]]*2,0)/2)</f>
        <v>1.5</v>
      </c>
    </row>
    <row r="159" spans="2:9" ht="15" customHeight="1" x14ac:dyDescent="0.25">
      <c r="B159" s="10">
        <v>157</v>
      </c>
      <c r="C159" s="12" t="s">
        <v>302</v>
      </c>
      <c r="D159" s="6">
        <v>324</v>
      </c>
      <c r="E159" s="6">
        <f>((Tabelle14[[#This Row],[CO2 /100g]]^(1/3.3))*0.9)-2.26</f>
        <v>2.9281643440150624</v>
      </c>
      <c r="F159" s="7">
        <f>MIN(5,ROUNDUP(Tabelle14[[#This Row],[CO2 Normallisiert]]*2,0)/2)</f>
        <v>3</v>
      </c>
      <c r="G159" s="9">
        <v>321</v>
      </c>
      <c r="H159" s="6">
        <f>MAX(0,((Tabelle14[[#This Row],[Wasser / 100g]]^(1/3.5))*0.95)-2.08)</f>
        <v>2.8616035493056948</v>
      </c>
      <c r="I159" s="6">
        <f>MIN(5,ROUNDUP(Tabelle14[[#This Row],[Wasser Normallisiert]]*2,0)/2)</f>
        <v>3</v>
      </c>
    </row>
    <row r="160" spans="2:9" ht="15" customHeight="1" x14ac:dyDescent="0.25">
      <c r="B160" s="10">
        <v>158</v>
      </c>
      <c r="C160" s="12" t="s">
        <v>303</v>
      </c>
      <c r="D160" s="6">
        <v>563</v>
      </c>
      <c r="E160" s="6">
        <f>((Tabelle14[[#This Row],[CO2 /100g]]^(1/3.3))*0.9)-2.26</f>
        <v>3.8738041048881762</v>
      </c>
      <c r="F160" s="7">
        <f>MIN(5,ROUNDUP(Tabelle14[[#This Row],[CO2 Normallisiert]]*2,0)/2)</f>
        <v>4</v>
      </c>
      <c r="G160" s="9">
        <v>643</v>
      </c>
      <c r="H160" s="6">
        <f>MAX(0,((Tabelle14[[#This Row],[Wasser / 100g]]^(1/3.5))*0.95)-2.08)</f>
        <v>3.9465615656941768</v>
      </c>
      <c r="I160" s="6">
        <f>MIN(5,ROUNDUP(Tabelle14[[#This Row],[Wasser Normallisiert]]*2,0)/2)</f>
        <v>4</v>
      </c>
    </row>
    <row r="161" spans="2:9" ht="15" customHeight="1" x14ac:dyDescent="0.25">
      <c r="B161" s="10">
        <v>159</v>
      </c>
      <c r="C161" s="12" t="s">
        <v>304</v>
      </c>
      <c r="D161" s="6">
        <v>172</v>
      </c>
      <c r="E161" s="6">
        <f>((Tabelle14[[#This Row],[CO2 /100g]]^(1/3.3))*0.9)-2.26</f>
        <v>2.0222830723804295</v>
      </c>
      <c r="F161" s="7">
        <f>MIN(5,ROUNDUP(Tabelle14[[#This Row],[CO2 Normallisiert]]*2,0)/2)</f>
        <v>2.5</v>
      </c>
      <c r="G161" s="9">
        <v>102</v>
      </c>
      <c r="H161" s="6">
        <f>MAX(0,((Tabelle14[[#This Row],[Wasser / 100g]]^(1/3.5))*0.95)-2.08)</f>
        <v>1.4813066335061187</v>
      </c>
      <c r="I161" s="6">
        <f>MIN(5,ROUNDUP(Tabelle14[[#This Row],[Wasser Normallisiert]]*2,0)/2)</f>
        <v>1.5</v>
      </c>
    </row>
    <row r="162" spans="2:9" ht="15" customHeight="1" x14ac:dyDescent="0.25">
      <c r="B162" s="10">
        <v>160</v>
      </c>
      <c r="C162" s="12" t="s">
        <v>305</v>
      </c>
      <c r="D162" s="6">
        <v>271</v>
      </c>
      <c r="E162" s="6">
        <f>((Tabelle14[[#This Row],[CO2 /100g]]^(1/3.3))*0.9)-2.26</f>
        <v>2.6548009202169354</v>
      </c>
      <c r="F162" s="7">
        <f>MIN(5,ROUNDUP(Tabelle14[[#This Row],[CO2 Normallisiert]]*2,0)/2)</f>
        <v>3</v>
      </c>
      <c r="G162" s="9">
        <v>242</v>
      </c>
      <c r="H162" s="6">
        <f>MAX(0,((Tabelle14[[#This Row],[Wasser / 100g]]^(1/3.5))*0.95)-2.08)</f>
        <v>2.4784134136131399</v>
      </c>
      <c r="I162" s="6">
        <f>MIN(5,ROUNDUP(Tabelle14[[#This Row],[Wasser Normallisiert]]*2,0)/2)</f>
        <v>2.5</v>
      </c>
    </row>
    <row r="163" spans="2:9" ht="15" customHeight="1" x14ac:dyDescent="0.25">
      <c r="B163" s="10">
        <v>161</v>
      </c>
      <c r="C163" s="12" t="s">
        <v>306</v>
      </c>
      <c r="D163" s="6">
        <v>137</v>
      </c>
      <c r="E163" s="6">
        <f>((Tabelle14[[#This Row],[CO2 /100g]]^(1/3.3))*0.9)-2.26</f>
        <v>1.7369948657368668</v>
      </c>
      <c r="F163" s="7">
        <f>MIN(5,ROUNDUP(Tabelle14[[#This Row],[CO2 Normallisiert]]*2,0)/2)</f>
        <v>2</v>
      </c>
      <c r="G163" s="9">
        <v>107</v>
      </c>
      <c r="H163" s="6">
        <f>MAX(0,((Tabelle14[[#This Row],[Wasser / 100g]]^(1/3.5))*0.95)-2.08)</f>
        <v>1.5303353339291994</v>
      </c>
      <c r="I163" s="6">
        <f>MIN(5,ROUNDUP(Tabelle14[[#This Row],[Wasser Normallisiert]]*2,0)/2)</f>
        <v>2</v>
      </c>
    </row>
    <row r="164" spans="2:9" ht="15" customHeight="1" x14ac:dyDescent="0.25">
      <c r="B164" s="10">
        <v>162</v>
      </c>
      <c r="C164" s="12" t="s">
        <v>307</v>
      </c>
      <c r="D164" s="6">
        <v>101</v>
      </c>
      <c r="E164" s="6">
        <f>((Tabelle14[[#This Row],[CO2 /100g]]^(1/3.3))*0.9)-2.26</f>
        <v>1.3842874270404275</v>
      </c>
      <c r="F164" s="7">
        <f>MIN(5,ROUNDUP(Tabelle14[[#This Row],[CO2 Normallisiert]]*2,0)/2)</f>
        <v>1.5</v>
      </c>
      <c r="G164" s="9">
        <v>62</v>
      </c>
      <c r="H164" s="6">
        <f>MAX(0,((Tabelle14[[#This Row],[Wasser / 100g]]^(1/3.5))*0.95)-2.08)</f>
        <v>1.0091252446416656</v>
      </c>
      <c r="I164" s="6">
        <f>MIN(5,ROUNDUP(Tabelle14[[#This Row],[Wasser Normallisiert]]*2,0)/2)</f>
        <v>1.5</v>
      </c>
    </row>
    <row r="165" spans="2:9" ht="15" customHeight="1" x14ac:dyDescent="0.25">
      <c r="B165" s="10">
        <v>163</v>
      </c>
      <c r="C165" s="12" t="s">
        <v>308</v>
      </c>
      <c r="D165" s="6">
        <v>131</v>
      </c>
      <c r="E165" s="6">
        <f>((Tabelle14[[#This Row],[CO2 /100g]]^(1/3.3))*0.9)-2.26</f>
        <v>1.6831188896649083</v>
      </c>
      <c r="F165" s="7">
        <f>MIN(5,ROUNDUP(Tabelle14[[#This Row],[CO2 Normallisiert]]*2,0)/2)</f>
        <v>2</v>
      </c>
      <c r="G165" s="9">
        <v>127</v>
      </c>
      <c r="H165" s="6">
        <f>MAX(0,((Tabelle14[[#This Row],[Wasser / 100g]]^(1/3.5))*0.95)-2.08)</f>
        <v>1.7114940842313531</v>
      </c>
      <c r="I165" s="6">
        <f>MIN(5,ROUNDUP(Tabelle14[[#This Row],[Wasser Normallisiert]]*2,0)/2)</f>
        <v>2</v>
      </c>
    </row>
    <row r="166" spans="2:9" ht="15" customHeight="1" x14ac:dyDescent="0.25">
      <c r="B166" s="10">
        <v>164</v>
      </c>
      <c r="C166" s="12" t="s">
        <v>261</v>
      </c>
      <c r="D166" s="6">
        <v>316</v>
      </c>
      <c r="E166" s="6">
        <f>((Tabelle14[[#This Row],[CO2 /100g]]^(1/3.3))*0.9)-2.26</f>
        <v>2.8890065414261814</v>
      </c>
      <c r="F166" s="7">
        <f>MIN(5,ROUNDUP(Tabelle14[[#This Row],[CO2 Normallisiert]]*2,0)/2)</f>
        <v>3</v>
      </c>
      <c r="G166" s="9">
        <v>429</v>
      </c>
      <c r="H166" s="6">
        <f>MAX(0,((Tabelle14[[#This Row],[Wasser / 100g]]^(1/3.5))*0.95)-2.08)</f>
        <v>3.2885161039126887</v>
      </c>
      <c r="I166" s="6">
        <f>MIN(5,ROUNDUP(Tabelle14[[#This Row],[Wasser Normallisiert]]*2,0)/2)</f>
        <v>3.5</v>
      </c>
    </row>
    <row r="167" spans="2:9" ht="15" customHeight="1" x14ac:dyDescent="0.25">
      <c r="B167" s="10">
        <v>165</v>
      </c>
      <c r="C167" s="12" t="s">
        <v>309</v>
      </c>
      <c r="D167" s="6">
        <v>158</v>
      </c>
      <c r="E167" s="6">
        <f>((Tabelle14[[#This Row],[CO2 /100g]]^(1/3.3))*0.9)-2.26</f>
        <v>1.9135174411404723</v>
      </c>
      <c r="F167" s="7">
        <f>MIN(5,ROUNDUP(Tabelle14[[#This Row],[CO2 Normallisiert]]*2,0)/2)</f>
        <v>2</v>
      </c>
      <c r="G167" s="9">
        <v>103</v>
      </c>
      <c r="H167" s="6">
        <f>MAX(0,((Tabelle14[[#This Row],[Wasser / 100g]]^(1/3.5))*0.95)-2.08)</f>
        <v>1.4912475479839058</v>
      </c>
      <c r="I167" s="6">
        <f>MIN(5,ROUNDUP(Tabelle14[[#This Row],[Wasser Normallisiert]]*2,0)/2)</f>
        <v>1.5</v>
      </c>
    </row>
    <row r="168" spans="2:9" ht="15" customHeight="1" x14ac:dyDescent="0.25">
      <c r="B168" s="10">
        <v>166</v>
      </c>
      <c r="C168" s="12" t="s">
        <v>310</v>
      </c>
      <c r="D168" s="6">
        <v>187</v>
      </c>
      <c r="E168" s="6">
        <f>((Tabelle14[[#This Row],[CO2 /100g]]^(1/3.3))*0.9)-2.26</f>
        <v>2.1321722114334651</v>
      </c>
      <c r="F168" s="7">
        <f>MIN(5,ROUNDUP(Tabelle14[[#This Row],[CO2 Normallisiert]]*2,0)/2)</f>
        <v>2.5</v>
      </c>
      <c r="G168" s="9">
        <v>138</v>
      </c>
      <c r="H168" s="6">
        <f>MAX(0,((Tabelle14[[#This Row],[Wasser / 100g]]^(1/3.5))*0.95)-2.08)</f>
        <v>1.8025551193100826</v>
      </c>
      <c r="I168" s="6">
        <f>MIN(5,ROUNDUP(Tabelle14[[#This Row],[Wasser Normallisiert]]*2,0)/2)</f>
        <v>2</v>
      </c>
    </row>
    <row r="169" spans="2:9" ht="15" customHeight="1" x14ac:dyDescent="0.25">
      <c r="B169" s="10">
        <v>167</v>
      </c>
      <c r="C169" s="12" t="s">
        <v>311</v>
      </c>
      <c r="D169" s="6">
        <v>48</v>
      </c>
      <c r="E169" s="6">
        <f>((Tabelle14[[#This Row],[CO2 /100g]]^(1/3.3))*0.9)-2.26</f>
        <v>0.64877112962780537</v>
      </c>
      <c r="F169" s="7">
        <f>MIN(5,ROUNDUP(Tabelle14[[#This Row],[CO2 Normallisiert]]*2,0)/2)</f>
        <v>1</v>
      </c>
      <c r="G169" s="9">
        <v>30</v>
      </c>
      <c r="H169" s="6">
        <f>MAX(0,((Tabelle14[[#This Row],[Wasser / 100g]]^(1/3.5))*0.95)-2.08)</f>
        <v>0.43048857623355552</v>
      </c>
      <c r="I169" s="6">
        <f>MIN(5,ROUNDUP(Tabelle14[[#This Row],[Wasser Normallisiert]]*2,0)/2)</f>
        <v>0.5</v>
      </c>
    </row>
    <row r="170" spans="2:9" ht="15" customHeight="1" x14ac:dyDescent="0.25">
      <c r="B170" s="10">
        <v>168</v>
      </c>
      <c r="C170" s="12" t="s">
        <v>312</v>
      </c>
      <c r="D170" s="6">
        <v>193</v>
      </c>
      <c r="E170" s="6">
        <f>((Tabelle14[[#This Row],[CO2 /100g]]^(1/3.3))*0.9)-2.26</f>
        <v>2.1744078396588113</v>
      </c>
      <c r="F170" s="7">
        <f>MIN(5,ROUNDUP(Tabelle14[[#This Row],[CO2 Normallisiert]]*2,0)/2)</f>
        <v>2.5</v>
      </c>
      <c r="G170" s="9">
        <v>145</v>
      </c>
      <c r="H170" s="6">
        <f>MAX(0,((Tabelle14[[#This Row],[Wasser / 100g]]^(1/3.5))*0.95)-2.08)</f>
        <v>1.8578332363249848</v>
      </c>
      <c r="I170" s="6">
        <f>MIN(5,ROUNDUP(Tabelle14[[#This Row],[Wasser Normallisiert]]*2,0)/2)</f>
        <v>2</v>
      </c>
    </row>
    <row r="171" spans="2:9" ht="15" customHeight="1" x14ac:dyDescent="0.25">
      <c r="B171" s="10">
        <v>169</v>
      </c>
      <c r="C171" s="12" t="s">
        <v>313</v>
      </c>
      <c r="D171" s="6">
        <v>250</v>
      </c>
      <c r="E171" s="6">
        <f>((Tabelle14[[#This Row],[CO2 /100g]]^(1/3.3))*0.9)-2.26</f>
        <v>2.5361305598639658</v>
      </c>
      <c r="F171" s="7">
        <f>MIN(5,ROUNDUP(Tabelle14[[#This Row],[CO2 Normallisiert]]*2,0)/2)</f>
        <v>3</v>
      </c>
      <c r="G171" s="9">
        <v>221</v>
      </c>
      <c r="H171" s="6">
        <f>MAX(0,((Tabelle14[[#This Row],[Wasser / 100g]]^(1/3.5))*0.95)-2.08)</f>
        <v>2.361707639730672</v>
      </c>
      <c r="I171" s="6">
        <f>MIN(5,ROUNDUP(Tabelle14[[#This Row],[Wasser Normallisiert]]*2,0)/2)</f>
        <v>2.5</v>
      </c>
    </row>
    <row r="172" spans="2:9" ht="15" customHeight="1" x14ac:dyDescent="0.25">
      <c r="B172" s="10">
        <v>170</v>
      </c>
      <c r="C172" s="12" t="s">
        <v>314</v>
      </c>
      <c r="D172" s="6">
        <v>437</v>
      </c>
      <c r="E172" s="6">
        <f>((Tabelle14[[#This Row],[CO2 /100g]]^(1/3.3))*0.9)-2.26</f>
        <v>3.4205240048676222</v>
      </c>
      <c r="F172" s="7">
        <f>MIN(5,ROUNDUP(Tabelle14[[#This Row],[CO2 Normallisiert]]*2,0)/2)</f>
        <v>3.5</v>
      </c>
      <c r="G172" s="9">
        <v>300</v>
      </c>
      <c r="H172" s="6">
        <f>MAX(0,((Tabelle14[[#This Row],[Wasser / 100g]]^(1/3.5))*0.95)-2.08)</f>
        <v>2.7669945925214696</v>
      </c>
      <c r="I172" s="6">
        <f>MIN(5,ROUNDUP(Tabelle14[[#This Row],[Wasser Normallisiert]]*2,0)/2)</f>
        <v>3</v>
      </c>
    </row>
    <row r="173" spans="2:9" ht="15" customHeight="1" x14ac:dyDescent="0.25">
      <c r="B173" s="10">
        <v>171</v>
      </c>
      <c r="C173" s="12" t="s">
        <v>315</v>
      </c>
      <c r="D173" s="6">
        <v>246</v>
      </c>
      <c r="E173" s="6">
        <f>((Tabelle14[[#This Row],[CO2 /100g]]^(1/3.3))*0.9)-2.26</f>
        <v>2.5127457487483769</v>
      </c>
      <c r="F173" s="7">
        <f>MIN(5,ROUNDUP(Tabelle14[[#This Row],[CO2 Normallisiert]]*2,0)/2)</f>
        <v>3</v>
      </c>
      <c r="G173" s="9">
        <v>131</v>
      </c>
      <c r="H173" s="6">
        <f>MAX(0,((Tabelle14[[#This Row],[Wasser / 100g]]^(1/3.5))*0.95)-2.08)</f>
        <v>1.7452362364205776</v>
      </c>
      <c r="I173" s="6">
        <f>MIN(5,ROUNDUP(Tabelle14[[#This Row],[Wasser Normallisiert]]*2,0)/2)</f>
        <v>2</v>
      </c>
    </row>
    <row r="174" spans="2:9" ht="15" customHeight="1" x14ac:dyDescent="0.25">
      <c r="B174" s="10">
        <v>172</v>
      </c>
      <c r="C174" s="12" t="s">
        <v>316</v>
      </c>
      <c r="D174" s="6">
        <v>166</v>
      </c>
      <c r="E174" s="6">
        <f>((Tabelle14[[#This Row],[CO2 /100g]]^(1/3.3))*0.9)-2.26</f>
        <v>1.9764543997400592</v>
      </c>
      <c r="F174" s="7">
        <f>MIN(5,ROUNDUP(Tabelle14[[#This Row],[CO2 Normallisiert]]*2,0)/2)</f>
        <v>2</v>
      </c>
      <c r="G174" s="9">
        <v>149</v>
      </c>
      <c r="H174" s="6">
        <f>MAX(0,((Tabelle14[[#This Row],[Wasser / 100g]]^(1/3.5))*0.95)-2.08)</f>
        <v>1.8885692930734401</v>
      </c>
      <c r="I174" s="6">
        <f>MIN(5,ROUNDUP(Tabelle14[[#This Row],[Wasser Normallisiert]]*2,0)/2)</f>
        <v>2</v>
      </c>
    </row>
    <row r="175" spans="2:9" ht="15" customHeight="1" x14ac:dyDescent="0.25">
      <c r="B175" s="10">
        <v>173</v>
      </c>
      <c r="C175" s="12" t="s">
        <v>317</v>
      </c>
      <c r="D175" s="6">
        <v>224</v>
      </c>
      <c r="E175" s="6">
        <f>((Tabelle14[[#This Row],[CO2 /100g]]^(1/3.3))*0.9)-2.26</f>
        <v>2.3791549524197482</v>
      </c>
      <c r="F175" s="7">
        <f>MIN(5,ROUNDUP(Tabelle14[[#This Row],[CO2 Normallisiert]]*2,0)/2)</f>
        <v>2.5</v>
      </c>
      <c r="G175" s="9">
        <v>224</v>
      </c>
      <c r="H175" s="6">
        <f>MAX(0,((Tabelle14[[#This Row],[Wasser / 100g]]^(1/3.5))*0.95)-2.08)</f>
        <v>2.3788518129990841</v>
      </c>
      <c r="I175" s="6">
        <f>MIN(5,ROUNDUP(Tabelle14[[#This Row],[Wasser Normallisiert]]*2,0)/2)</f>
        <v>2.5</v>
      </c>
    </row>
    <row r="176" spans="2:9" ht="15" customHeight="1" x14ac:dyDescent="0.25">
      <c r="B176" s="10">
        <v>174</v>
      </c>
      <c r="C176" s="12" t="s">
        <v>318</v>
      </c>
      <c r="D176" s="6">
        <v>81</v>
      </c>
      <c r="E176" s="6">
        <f>((Tabelle14[[#This Row],[CO2 /100g]]^(1/3.3))*0.9)-2.26</f>
        <v>1.1485628243914392</v>
      </c>
      <c r="F176" s="7">
        <f>MIN(5,ROUNDUP(Tabelle14[[#This Row],[CO2 Normallisiert]]*2,0)/2)</f>
        <v>1.5</v>
      </c>
      <c r="G176" s="9">
        <v>50</v>
      </c>
      <c r="H176" s="6">
        <f>MAX(0,((Tabelle14[[#This Row],[Wasser / 100g]]^(1/3.5))*0.95)-2.08)</f>
        <v>0.82498307552607208</v>
      </c>
      <c r="I176" s="6">
        <f>MIN(5,ROUNDUP(Tabelle14[[#This Row],[Wasser Normallisiert]]*2,0)/2)</f>
        <v>1</v>
      </c>
    </row>
    <row r="177" spans="2:9" ht="15" customHeight="1" x14ac:dyDescent="0.25">
      <c r="B177" s="10">
        <v>175</v>
      </c>
      <c r="C177" s="12" t="s">
        <v>319</v>
      </c>
      <c r="D177" s="6">
        <v>731</v>
      </c>
      <c r="E177" s="6">
        <f>((Tabelle14[[#This Row],[CO2 /100g]]^(1/3.3))*0.9)-2.26</f>
        <v>4.3789020331175657</v>
      </c>
      <c r="F177" s="7">
        <f>MIN(5,ROUNDUP(Tabelle14[[#This Row],[CO2 Normallisiert]]*2,0)/2)</f>
        <v>4.5</v>
      </c>
      <c r="G177" s="9">
        <v>831</v>
      </c>
      <c r="H177" s="6">
        <f>MAX(0,((Tabelle14[[#This Row],[Wasser / 100g]]^(1/3.5))*0.95)-2.08)</f>
        <v>4.4047811855424417</v>
      </c>
      <c r="I177" s="6">
        <f>MIN(5,ROUNDUP(Tabelle14[[#This Row],[Wasser Normallisiert]]*2,0)/2)</f>
        <v>4.5</v>
      </c>
    </row>
    <row r="178" spans="2:9" ht="15" customHeight="1" x14ac:dyDescent="0.25">
      <c r="B178" s="10">
        <v>176</v>
      </c>
      <c r="C178" s="12" t="s">
        <v>320</v>
      </c>
      <c r="D178" s="6">
        <v>217</v>
      </c>
      <c r="E178" s="6">
        <f>((Tabelle14[[#This Row],[CO2 /100g]]^(1/3.3))*0.9)-2.26</f>
        <v>2.3347365019952671</v>
      </c>
      <c r="F178" s="7">
        <f>MIN(5,ROUNDUP(Tabelle14[[#This Row],[CO2 Normallisiert]]*2,0)/2)</f>
        <v>2.5</v>
      </c>
      <c r="G178" s="9">
        <v>253</v>
      </c>
      <c r="H178" s="6">
        <f>MAX(0,((Tabelle14[[#This Row],[Wasser / 100g]]^(1/3.5))*0.95)-2.08)</f>
        <v>2.5366767633181579</v>
      </c>
      <c r="I178" s="6">
        <f>MIN(5,ROUNDUP(Tabelle14[[#This Row],[Wasser Normallisiert]]*2,0)/2)</f>
        <v>3</v>
      </c>
    </row>
    <row r="179" spans="2:9" ht="15" customHeight="1" x14ac:dyDescent="0.25">
      <c r="B179" s="10">
        <v>177</v>
      </c>
      <c r="C179" s="12" t="s">
        <v>321</v>
      </c>
      <c r="D179" s="6">
        <v>274</v>
      </c>
      <c r="E179" s="6">
        <f>((Tabelle14[[#This Row],[CO2 /100g]]^(1/3.3))*0.9)-2.26</f>
        <v>2.6712248001776802</v>
      </c>
      <c r="F179" s="7">
        <f>MIN(5,ROUNDUP(Tabelle14[[#This Row],[CO2 Normallisiert]]*2,0)/2)</f>
        <v>3</v>
      </c>
      <c r="G179" s="9">
        <v>198</v>
      </c>
      <c r="H179" s="6">
        <f>MAX(0,((Tabelle14[[#This Row],[Wasser / 100g]]^(1/3.5))*0.95)-2.08)</f>
        <v>2.2244102772392242</v>
      </c>
      <c r="I179" s="6">
        <f>MIN(5,ROUNDUP(Tabelle14[[#This Row],[Wasser Normallisiert]]*2,0)/2)</f>
        <v>2.5</v>
      </c>
    </row>
    <row r="180" spans="2:9" ht="15" customHeight="1" x14ac:dyDescent="0.25">
      <c r="B180" s="10">
        <v>178</v>
      </c>
      <c r="C180" s="12" t="s">
        <v>322</v>
      </c>
      <c r="D180" s="6">
        <v>99</v>
      </c>
      <c r="E180" s="6">
        <f>((Tabelle14[[#This Row],[CO2 /100g]]^(1/3.3))*0.9)-2.26</f>
        <v>1.3622668988148519</v>
      </c>
      <c r="F180" s="7">
        <f>MIN(5,ROUNDUP(Tabelle14[[#This Row],[CO2 Normallisiert]]*2,0)/2)</f>
        <v>1.5</v>
      </c>
      <c r="G180" s="9">
        <v>134</v>
      </c>
      <c r="H180" s="6">
        <f>MAX(0,((Tabelle14[[#This Row],[Wasser / 100g]]^(1/3.5))*0.95)-2.08)</f>
        <v>1.7700629761151729</v>
      </c>
      <c r="I180" s="6">
        <f>MIN(5,ROUNDUP(Tabelle14[[#This Row],[Wasser Normallisiert]]*2,0)/2)</f>
        <v>2</v>
      </c>
    </row>
    <row r="181" spans="2:9" ht="15" customHeight="1" x14ac:dyDescent="0.25">
      <c r="B181" s="10">
        <v>179</v>
      </c>
      <c r="C181" s="12" t="s">
        <v>323</v>
      </c>
      <c r="D181" s="6">
        <v>405</v>
      </c>
      <c r="E181" s="6">
        <f>((Tabelle14[[#This Row],[CO2 /100g]]^(1/3.3))*0.9)-2.26</f>
        <v>3.2911171825091374</v>
      </c>
      <c r="F181" s="7">
        <f>MIN(5,ROUNDUP(Tabelle14[[#This Row],[CO2 Normallisiert]]*2,0)/2)</f>
        <v>3.5</v>
      </c>
      <c r="G181" s="9">
        <v>363</v>
      </c>
      <c r="H181" s="6">
        <f>MAX(0,((Tabelle14[[#This Row],[Wasser / 100g]]^(1/3.5))*0.95)-2.08)</f>
        <v>3.0382971770016773</v>
      </c>
      <c r="I181" s="6">
        <f>MIN(5,ROUNDUP(Tabelle14[[#This Row],[Wasser Normallisiert]]*2,0)/2)</f>
        <v>3.5</v>
      </c>
    </row>
    <row r="182" spans="2:9" ht="15" customHeight="1" x14ac:dyDescent="0.25">
      <c r="B182" s="10">
        <v>180</v>
      </c>
      <c r="C182" s="12" t="s">
        <v>324</v>
      </c>
      <c r="D182" s="6">
        <v>722</v>
      </c>
      <c r="E182" s="6">
        <f>((Tabelle14[[#This Row],[CO2 /100g]]^(1/3.3))*0.9)-2.26</f>
        <v>4.3540260735924656</v>
      </c>
      <c r="F182" s="7">
        <f>MIN(5,ROUNDUP(Tabelle14[[#This Row],[CO2 Normallisiert]]*2,0)/2)</f>
        <v>4.5</v>
      </c>
      <c r="G182" s="9">
        <v>821</v>
      </c>
      <c r="H182" s="6">
        <f>MAX(0,((Tabelle14[[#This Row],[Wasser / 100g]]^(1/3.5))*0.95)-2.08)</f>
        <v>4.3823887345721957</v>
      </c>
      <c r="I182" s="6">
        <f>MIN(5,ROUNDUP(Tabelle14[[#This Row],[Wasser Normallisiert]]*2,0)/2)</f>
        <v>4.5</v>
      </c>
    </row>
    <row r="183" spans="2:9" ht="15" customHeight="1" x14ac:dyDescent="0.25">
      <c r="B183" s="10">
        <v>181</v>
      </c>
      <c r="C183" s="12" t="s">
        <v>325</v>
      </c>
      <c r="D183" s="6">
        <v>161</v>
      </c>
      <c r="E183" s="6">
        <f>((Tabelle14[[#This Row],[CO2 /100g]]^(1/3.3))*0.9)-2.26</f>
        <v>1.9373735686429683</v>
      </c>
      <c r="F183" s="7">
        <f>MIN(5,ROUNDUP(Tabelle14[[#This Row],[CO2 Normallisiert]]*2,0)/2)</f>
        <v>2</v>
      </c>
      <c r="G183" s="9">
        <v>179</v>
      </c>
      <c r="H183" s="6">
        <f>MAX(0,((Tabelle14[[#This Row],[Wasser / 100g]]^(1/3.5))*0.95)-2.08)</f>
        <v>2.1021143158893016</v>
      </c>
      <c r="I183" s="6">
        <f>MIN(5,ROUNDUP(Tabelle14[[#This Row],[Wasser Normallisiert]]*2,0)/2)</f>
        <v>2.5</v>
      </c>
    </row>
    <row r="184" spans="2:9" ht="15" customHeight="1" x14ac:dyDescent="0.25">
      <c r="B184" s="10">
        <v>182</v>
      </c>
      <c r="C184" s="12" t="s">
        <v>326</v>
      </c>
      <c r="D184" s="6">
        <v>343</v>
      </c>
      <c r="E184" s="6">
        <f>((Tabelle14[[#This Row],[CO2 /100g]]^(1/3.3))*0.9)-2.26</f>
        <v>3.0185355999523722</v>
      </c>
      <c r="F184" s="7">
        <f>MIN(5,ROUNDUP(Tabelle14[[#This Row],[CO2 Normallisiert]]*2,0)/2)</f>
        <v>3.5</v>
      </c>
      <c r="G184" s="9">
        <v>237</v>
      </c>
      <c r="H184" s="6">
        <f>MAX(0,((Tabelle14[[#This Row],[Wasser / 100g]]^(1/3.5))*0.95)-2.08)</f>
        <v>2.4513033034861218</v>
      </c>
      <c r="I184" s="6">
        <f>MIN(5,ROUNDUP(Tabelle14[[#This Row],[Wasser Normallisiert]]*2,0)/2)</f>
        <v>2.5</v>
      </c>
    </row>
    <row r="185" spans="2:9" ht="15" customHeight="1" x14ac:dyDescent="0.25">
      <c r="B185" s="10">
        <v>183</v>
      </c>
      <c r="C185" s="12" t="s">
        <v>327</v>
      </c>
      <c r="D185" s="6">
        <v>183</v>
      </c>
      <c r="E185" s="6">
        <f>((Tabelle14[[#This Row],[CO2 /100g]]^(1/3.3))*0.9)-2.26</f>
        <v>2.1034876262165207</v>
      </c>
      <c r="F185" s="7">
        <f>MIN(5,ROUNDUP(Tabelle14[[#This Row],[CO2 Normallisiert]]*2,0)/2)</f>
        <v>2.5</v>
      </c>
      <c r="G185" s="9">
        <v>128</v>
      </c>
      <c r="H185" s="6">
        <f>MAX(0,((Tabelle14[[#This Row],[Wasser / 100g]]^(1/3.5))*0.95)-2.08)</f>
        <v>1.7199999999999998</v>
      </c>
      <c r="I185" s="6">
        <f>MIN(5,ROUNDUP(Tabelle14[[#This Row],[Wasser Normallisiert]]*2,0)/2)</f>
        <v>2</v>
      </c>
    </row>
    <row r="186" spans="2:9" ht="15" customHeight="1" x14ac:dyDescent="0.25">
      <c r="B186" s="10">
        <v>184</v>
      </c>
      <c r="C186" s="12" t="s">
        <v>328</v>
      </c>
      <c r="D186" s="6">
        <v>468</v>
      </c>
      <c r="E186" s="6">
        <f>((Tabelle14[[#This Row],[CO2 /100g]]^(1/3.3))*0.9)-2.26</f>
        <v>3.5397319167045911</v>
      </c>
      <c r="F186" s="7">
        <f>MIN(5,ROUNDUP(Tabelle14[[#This Row],[CO2 Normallisiert]]*2,0)/2)</f>
        <v>4</v>
      </c>
      <c r="G186" s="9">
        <v>348</v>
      </c>
      <c r="H186" s="6">
        <f>MAX(0,((Tabelle14[[#This Row],[Wasser / 100g]]^(1/3.5))*0.95)-2.08)</f>
        <v>2.9769551692804983</v>
      </c>
      <c r="I186" s="6">
        <f>MIN(5,ROUNDUP(Tabelle14[[#This Row],[Wasser Normallisiert]]*2,0)/2)</f>
        <v>3</v>
      </c>
    </row>
    <row r="187" spans="2:9" ht="15" customHeight="1" x14ac:dyDescent="0.25">
      <c r="B187" s="10">
        <v>185</v>
      </c>
      <c r="C187" s="12" t="s">
        <v>329</v>
      </c>
      <c r="D187" s="6">
        <v>103</v>
      </c>
      <c r="E187" s="6">
        <f>((Tabelle14[[#This Row],[CO2 /100g]]^(1/3.3))*0.9)-2.26</f>
        <v>1.4060061027630808</v>
      </c>
      <c r="F187" s="7">
        <f>MIN(5,ROUNDUP(Tabelle14[[#This Row],[CO2 Normallisiert]]*2,0)/2)</f>
        <v>1.5</v>
      </c>
      <c r="G187" s="9">
        <v>78</v>
      </c>
      <c r="H187" s="6">
        <f>MAX(0,((Tabelle14[[#This Row],[Wasser / 100g]]^(1/3.5))*0.95)-2.08)</f>
        <v>1.2185423411846568</v>
      </c>
      <c r="I187" s="6">
        <f>MIN(5,ROUNDUP(Tabelle14[[#This Row],[Wasser Normallisiert]]*2,0)/2)</f>
        <v>1.5</v>
      </c>
    </row>
    <row r="188" spans="2:9" ht="15" customHeight="1" x14ac:dyDescent="0.25">
      <c r="B188" s="10">
        <v>186</v>
      </c>
      <c r="C188" s="12" t="s">
        <v>330</v>
      </c>
      <c r="D188" s="6">
        <v>461</v>
      </c>
      <c r="E188" s="6">
        <f>((Tabelle14[[#This Row],[CO2 /100g]]^(1/3.3))*0.9)-2.26</f>
        <v>3.5133064149450064</v>
      </c>
      <c r="F188" s="7">
        <f>MIN(5,ROUNDUP(Tabelle14[[#This Row],[CO2 Normallisiert]]*2,0)/2)</f>
        <v>4</v>
      </c>
      <c r="G188" s="9">
        <v>518</v>
      </c>
      <c r="H188" s="6">
        <f>MAX(0,((Tabelle14[[#This Row],[Wasser / 100g]]^(1/3.5))*0.95)-2.08)</f>
        <v>3.5856063189100063</v>
      </c>
      <c r="I188" s="6">
        <f>MIN(5,ROUNDUP(Tabelle14[[#This Row],[Wasser Normallisiert]]*2,0)/2)</f>
        <v>4</v>
      </c>
    </row>
    <row r="189" spans="2:9" ht="15" customHeight="1" x14ac:dyDescent="0.25">
      <c r="B189" s="10">
        <v>187</v>
      </c>
      <c r="C189" s="12" t="s">
        <v>331</v>
      </c>
      <c r="D189" s="6">
        <v>259</v>
      </c>
      <c r="E189" s="6">
        <f>((Tabelle14[[#This Row],[CO2 /100g]]^(1/3.3))*0.9)-2.26</f>
        <v>2.5878086386692534</v>
      </c>
      <c r="F189" s="7">
        <f>MIN(5,ROUNDUP(Tabelle14[[#This Row],[CO2 Normallisiert]]*2,0)/2)</f>
        <v>3</v>
      </c>
      <c r="G189" s="9">
        <v>240</v>
      </c>
      <c r="H189" s="6">
        <f>MAX(0,((Tabelle14[[#This Row],[Wasser / 100g]]^(1/3.5))*0.95)-2.08)</f>
        <v>2.4676178247178679</v>
      </c>
      <c r="I189" s="6">
        <f>MIN(5,ROUNDUP(Tabelle14[[#This Row],[Wasser Normallisiert]]*2,0)/2)</f>
        <v>2.5</v>
      </c>
    </row>
    <row r="190" spans="2:9" ht="15" customHeight="1" x14ac:dyDescent="0.25">
      <c r="B190" s="10">
        <v>188</v>
      </c>
      <c r="C190" s="12" t="s">
        <v>332</v>
      </c>
      <c r="D190" s="6">
        <v>46</v>
      </c>
      <c r="E190" s="6">
        <f>((Tabelle14[[#This Row],[CO2 /100g]]^(1/3.3))*0.9)-2.26</f>
        <v>0.61149800600930559</v>
      </c>
      <c r="F190" s="7">
        <f>MIN(5,ROUNDUP(Tabelle14[[#This Row],[CO2 Normallisiert]]*2,0)/2)</f>
        <v>1</v>
      </c>
      <c r="G190" s="9">
        <v>39</v>
      </c>
      <c r="H190" s="6">
        <f>MAX(0,((Tabelle14[[#This Row],[Wasser / 100g]]^(1/3.5))*0.95)-2.08)</f>
        <v>0.62591090576198249</v>
      </c>
      <c r="I190" s="6">
        <f>MIN(5,ROUNDUP(Tabelle14[[#This Row],[Wasser Normallisiert]]*2,0)/2)</f>
        <v>1</v>
      </c>
    </row>
    <row r="191" spans="2:9" ht="15" customHeight="1" x14ac:dyDescent="0.25">
      <c r="B191" s="10">
        <v>189</v>
      </c>
      <c r="C191" s="12" t="s">
        <v>333</v>
      </c>
      <c r="D191" s="6">
        <v>648</v>
      </c>
      <c r="E191" s="6">
        <f>((Tabelle14[[#This Row],[CO2 /100g]]^(1/3.3))*0.9)-2.26</f>
        <v>4.1408099935069833</v>
      </c>
      <c r="F191" s="7">
        <f>MIN(5,ROUNDUP(Tabelle14[[#This Row],[CO2 Normallisiert]]*2,0)/2)</f>
        <v>4.5</v>
      </c>
      <c r="G191" s="9">
        <v>728</v>
      </c>
      <c r="H191" s="6">
        <f>MAX(0,((Tabelle14[[#This Row],[Wasser / 100g]]^(1/3.5))*0.95)-2.08)</f>
        <v>4.164180201860793</v>
      </c>
      <c r="I191" s="6">
        <f>MIN(5,ROUNDUP(Tabelle14[[#This Row],[Wasser Normallisiert]]*2,0)/2)</f>
        <v>4.5</v>
      </c>
    </row>
    <row r="192" spans="2:9" ht="15" customHeight="1" x14ac:dyDescent="0.25">
      <c r="B192" s="10">
        <v>190</v>
      </c>
      <c r="C192" s="12" t="s">
        <v>334</v>
      </c>
      <c r="D192" s="6">
        <v>186</v>
      </c>
      <c r="E192" s="6">
        <f>((Tabelle14[[#This Row],[CO2 /100g]]^(1/3.3))*0.9)-2.26</f>
        <v>2.1250414674437987</v>
      </c>
      <c r="F192" s="7">
        <f>MIN(5,ROUNDUP(Tabelle14[[#This Row],[CO2 Normallisiert]]*2,0)/2)</f>
        <v>2.5</v>
      </c>
      <c r="G192" s="9">
        <v>163</v>
      </c>
      <c r="H192" s="6">
        <f>MAX(0,((Tabelle14[[#This Row],[Wasser / 100g]]^(1/3.5))*0.95)-2.08)</f>
        <v>1.9917134495766282</v>
      </c>
      <c r="I192" s="6">
        <f>MIN(5,ROUNDUP(Tabelle14[[#This Row],[Wasser Normallisiert]]*2,0)/2)</f>
        <v>2</v>
      </c>
    </row>
    <row r="193" spans="2:9" ht="15" customHeight="1" x14ac:dyDescent="0.25">
      <c r="B193" s="10">
        <v>191</v>
      </c>
      <c r="C193" s="12" t="s">
        <v>223</v>
      </c>
      <c r="D193" s="6">
        <v>54</v>
      </c>
      <c r="E193" s="6">
        <f>((Tabelle14[[#This Row],[CO2 /100g]]^(1/3.3))*0.9)-2.26</f>
        <v>0.75446548359463161</v>
      </c>
      <c r="F193" s="7">
        <f>MIN(5,ROUNDUP(Tabelle14[[#This Row],[CO2 Normallisiert]]*2,0)/2)</f>
        <v>1</v>
      </c>
      <c r="G193" s="9">
        <v>122</v>
      </c>
      <c r="H193" s="6">
        <f>MAX(0,((Tabelle14[[#This Row],[Wasser / 100g]]^(1/3.5))*0.95)-2.08)</f>
        <v>1.6682315682955657</v>
      </c>
      <c r="I193" s="6">
        <f>MIN(5,ROUNDUP(Tabelle14[[#This Row],[Wasser Normallisiert]]*2,0)/2)</f>
        <v>2</v>
      </c>
    </row>
    <row r="194" spans="2:9" ht="15" customHeight="1" x14ac:dyDescent="0.25">
      <c r="B194" s="10">
        <v>192</v>
      </c>
      <c r="C194" s="12" t="s">
        <v>335</v>
      </c>
      <c r="D194" s="6">
        <v>916</v>
      </c>
      <c r="E194" s="6">
        <f>((Tabelle14[[#This Row],[CO2 /100g]]^(1/3.3))*0.9)-2.26</f>
        <v>4.8486411684448703</v>
      </c>
      <c r="F194" s="7">
        <f>MIN(5,ROUNDUP(Tabelle14[[#This Row],[CO2 Normallisiert]]*2,0)/2)</f>
        <v>5</v>
      </c>
      <c r="G194" s="9">
        <v>1055</v>
      </c>
      <c r="H194" s="6">
        <f>MAX(0,((Tabelle14[[#This Row],[Wasser / 100g]]^(1/3.5))*0.95)-2.08)</f>
        <v>4.8624062270121122</v>
      </c>
      <c r="I194" s="6">
        <f>MIN(5,ROUNDUP(Tabelle14[[#This Row],[Wasser Normallisiert]]*2,0)/2)</f>
        <v>5</v>
      </c>
    </row>
    <row r="195" spans="2:9" ht="15" customHeight="1" x14ac:dyDescent="0.25">
      <c r="B195" s="10">
        <v>193</v>
      </c>
      <c r="C195" s="12" t="s">
        <v>336</v>
      </c>
      <c r="D195" s="6">
        <v>208</v>
      </c>
      <c r="E195" s="6">
        <f>((Tabelle14[[#This Row],[CO2 /100g]]^(1/3.3))*0.9)-2.26</f>
        <v>2.2761347195875272</v>
      </c>
      <c r="F195" s="7">
        <f>MIN(5,ROUNDUP(Tabelle14[[#This Row],[CO2 Normallisiert]]*2,0)/2)</f>
        <v>2.5</v>
      </c>
      <c r="G195" s="9">
        <v>215</v>
      </c>
      <c r="H195" s="6">
        <f>MAX(0,((Tabelle14[[#This Row],[Wasser / 100g]]^(1/3.5))*0.95)-2.08)</f>
        <v>2.3269141868019405</v>
      </c>
      <c r="I195" s="6">
        <f>MIN(5,ROUNDUP(Tabelle14[[#This Row],[Wasser Normallisiert]]*2,0)/2)</f>
        <v>2.5</v>
      </c>
    </row>
    <row r="196" spans="2:9" ht="15" customHeight="1" x14ac:dyDescent="0.25">
      <c r="B196" s="10">
        <v>194</v>
      </c>
      <c r="C196" s="12" t="s">
        <v>337</v>
      </c>
      <c r="D196" s="6">
        <v>247</v>
      </c>
      <c r="E196" s="6">
        <f>((Tabelle14[[#This Row],[CO2 /100g]]^(1/3.3))*0.9)-2.26</f>
        <v>2.5186166531053553</v>
      </c>
      <c r="F196" s="7">
        <f>MIN(5,ROUNDUP(Tabelle14[[#This Row],[CO2 Normallisiert]]*2,0)/2)</f>
        <v>3</v>
      </c>
      <c r="G196" s="9">
        <v>269</v>
      </c>
      <c r="H196" s="6">
        <f>MAX(0,((Tabelle14[[#This Row],[Wasser / 100g]]^(1/3.5))*0.95)-2.08)</f>
        <v>2.6182761799359762</v>
      </c>
      <c r="I196" s="6">
        <f>MIN(5,ROUNDUP(Tabelle14[[#This Row],[Wasser Normallisiert]]*2,0)/2)</f>
        <v>3</v>
      </c>
    </row>
    <row r="197" spans="2:9" ht="15" customHeight="1" x14ac:dyDescent="0.25">
      <c r="B197" s="10">
        <v>195</v>
      </c>
      <c r="C197" s="12" t="s">
        <v>338</v>
      </c>
      <c r="D197" s="6">
        <v>372</v>
      </c>
      <c r="E197" s="6">
        <f>((Tabelle14[[#This Row],[CO2 /100g]]^(1/3.3))*0.9)-2.26</f>
        <v>3.1499707306178779</v>
      </c>
      <c r="F197" s="7">
        <f>MIN(5,ROUNDUP(Tabelle14[[#This Row],[CO2 Normallisiert]]*2,0)/2)</f>
        <v>3.5</v>
      </c>
      <c r="G197" s="9">
        <v>296</v>
      </c>
      <c r="H197" s="6">
        <f>MAX(0,((Tabelle14[[#This Row],[Wasser / 100g]]^(1/3.5))*0.95)-2.08)</f>
        <v>2.7484412478326172</v>
      </c>
      <c r="I197" s="6">
        <f>MIN(5,ROUNDUP(Tabelle14[[#This Row],[Wasser Normallisiert]]*2,0)/2)</f>
        <v>3</v>
      </c>
    </row>
    <row r="198" spans="2:9" ht="15" customHeight="1" x14ac:dyDescent="0.25">
      <c r="B198" s="10">
        <v>196</v>
      </c>
      <c r="C198" s="12" t="s">
        <v>339</v>
      </c>
      <c r="D198" s="6">
        <v>332</v>
      </c>
      <c r="E198" s="6">
        <f>((Tabelle14[[#This Row],[CO2 /100g]]^(1/3.3))*0.9)-2.26</f>
        <v>2.9666539494212429</v>
      </c>
      <c r="F198" s="7">
        <f>MIN(5,ROUNDUP(Tabelle14[[#This Row],[CO2 Normallisiert]]*2,0)/2)</f>
        <v>3</v>
      </c>
      <c r="G198" s="9">
        <v>189</v>
      </c>
      <c r="H198" s="6">
        <f>MAX(0,((Tabelle14[[#This Row],[Wasser / 100g]]^(1/3.5))*0.95)-2.08)</f>
        <v>2.1675770306029394</v>
      </c>
      <c r="I198" s="6">
        <f>MIN(5,ROUNDUP(Tabelle14[[#This Row],[Wasser Normallisiert]]*2,0)/2)</f>
        <v>2.5</v>
      </c>
    </row>
    <row r="199" spans="2:9" ht="15" customHeight="1" x14ac:dyDescent="0.25">
      <c r="B199" s="10">
        <v>197</v>
      </c>
      <c r="C199" s="12" t="s">
        <v>340</v>
      </c>
      <c r="D199" s="6">
        <v>237</v>
      </c>
      <c r="E199" s="6">
        <f>((Tabelle14[[#This Row],[CO2 /100g]]^(1/3.3))*0.9)-2.26</f>
        <v>2.4591438993877999</v>
      </c>
      <c r="F199" s="7">
        <f>MIN(5,ROUNDUP(Tabelle14[[#This Row],[CO2 Normallisiert]]*2,0)/2)</f>
        <v>2.5</v>
      </c>
      <c r="G199" s="9">
        <v>371</v>
      </c>
      <c r="H199" s="6">
        <f>MAX(0,((Tabelle14[[#This Row],[Wasser / 100g]]^(1/3.5))*0.95)-2.08)</f>
        <v>3.0702752099429551</v>
      </c>
      <c r="I199" s="6">
        <f>MIN(5,ROUNDUP(Tabelle14[[#This Row],[Wasser Normallisiert]]*2,0)/2)</f>
        <v>3.5</v>
      </c>
    </row>
    <row r="200" spans="2:9" ht="15" customHeight="1" x14ac:dyDescent="0.25">
      <c r="B200" s="10">
        <v>198</v>
      </c>
      <c r="C200" s="12" t="s">
        <v>341</v>
      </c>
      <c r="D200" s="6">
        <v>1010</v>
      </c>
      <c r="E200" s="6">
        <f>((Tabelle14[[#This Row],[CO2 /100g]]^(1/3.3))*0.9)-2.26</f>
        <v>5.0622225692424863</v>
      </c>
      <c r="F200" s="7">
        <f>MIN(5,ROUNDUP(Tabelle14[[#This Row],[CO2 Normallisiert]]*2,0)/2)</f>
        <v>5</v>
      </c>
      <c r="G200" s="9">
        <v>748</v>
      </c>
      <c r="H200" s="6">
        <f>MAX(0,((Tabelle14[[#This Row],[Wasser / 100g]]^(1/3.5))*0.95)-2.08)</f>
        <v>4.2127191257851369</v>
      </c>
      <c r="I200" s="6">
        <f>MIN(5,ROUNDUP(Tabelle14[[#This Row],[Wasser Normallisiert]]*2,0)/2)</f>
        <v>4.5</v>
      </c>
    </row>
    <row r="201" spans="2:9" ht="15" customHeight="1" x14ac:dyDescent="0.25">
      <c r="B201" s="10">
        <v>199</v>
      </c>
      <c r="C201" s="12" t="s">
        <v>342</v>
      </c>
      <c r="D201" s="6">
        <v>722</v>
      </c>
      <c r="E201" s="6">
        <f>((Tabelle14[[#This Row],[CO2 /100g]]^(1/3.3))*0.9)-2.26</f>
        <v>4.3540260735924656</v>
      </c>
      <c r="F201" s="7">
        <f>MIN(5,ROUNDUP(Tabelle14[[#This Row],[CO2 Normallisiert]]*2,0)/2)</f>
        <v>4.5</v>
      </c>
      <c r="G201" s="9">
        <v>806</v>
      </c>
      <c r="H201" s="6">
        <f>MAX(0,((Tabelle14[[#This Row],[Wasser / 100g]]^(1/3.5))*0.95)-2.08)</f>
        <v>4.3484318743370389</v>
      </c>
      <c r="I201" s="6">
        <f>MIN(5,ROUNDUP(Tabelle14[[#This Row],[Wasser Normallisiert]]*2,0)/2)</f>
        <v>4.5</v>
      </c>
    </row>
    <row r="202" spans="2:9" ht="15" customHeight="1" x14ac:dyDescent="0.25">
      <c r="B202" s="10">
        <v>200</v>
      </c>
      <c r="C202" s="12" t="s">
        <v>343</v>
      </c>
      <c r="D202" s="6">
        <v>345</v>
      </c>
      <c r="E202" s="6">
        <f>((Tabelle14[[#This Row],[CO2 /100g]]^(1/3.3))*0.9)-2.26</f>
        <v>3.0278435687679996</v>
      </c>
      <c r="F202" s="7">
        <f>MIN(5,ROUNDUP(Tabelle14[[#This Row],[CO2 Normallisiert]]*2,0)/2)</f>
        <v>3.5</v>
      </c>
      <c r="G202" s="9">
        <v>354</v>
      </c>
      <c r="H202" s="6">
        <f>MAX(0,((Tabelle14[[#This Row],[Wasser / 100g]]^(1/3.5))*0.95)-2.08)</f>
        <v>3.0017143787678311</v>
      </c>
      <c r="I202" s="6">
        <f>MIN(5,ROUNDUP(Tabelle14[[#This Row],[Wasser Normallisiert]]*2,0)/2)</f>
        <v>3.5</v>
      </c>
    </row>
    <row r="203" spans="2:9" ht="15" customHeight="1" x14ac:dyDescent="0.25">
      <c r="B203" s="10">
        <v>201</v>
      </c>
      <c r="C203" s="12" t="s">
        <v>344</v>
      </c>
      <c r="D203" s="6">
        <v>236</v>
      </c>
      <c r="E203" s="6">
        <f>((Tabelle14[[#This Row],[CO2 /100g]]^(1/3.3))*0.9)-2.26</f>
        <v>2.4531010665806861</v>
      </c>
      <c r="F203" s="7">
        <f>MIN(5,ROUNDUP(Tabelle14[[#This Row],[CO2 Normallisiert]]*2,0)/2)</f>
        <v>2.5</v>
      </c>
      <c r="G203" s="9">
        <v>255</v>
      </c>
      <c r="H203" s="6">
        <f>MAX(0,((Tabelle14[[#This Row],[Wasser / 100g]]^(1/3.5))*0.95)-2.08)</f>
        <v>2.5470747333494277</v>
      </c>
      <c r="I203" s="6">
        <f>MIN(5,ROUNDUP(Tabelle14[[#This Row],[Wasser Normallisiert]]*2,0)/2)</f>
        <v>3</v>
      </c>
    </row>
    <row r="204" spans="2:9" ht="15" customHeight="1" x14ac:dyDescent="0.25">
      <c r="B204" s="10">
        <v>202</v>
      </c>
      <c r="C204" s="12" t="s">
        <v>345</v>
      </c>
      <c r="D204" s="6">
        <v>382</v>
      </c>
      <c r="E204" s="6">
        <f>((Tabelle14[[#This Row],[CO2 /100g]]^(1/3.3))*0.9)-2.26</f>
        <v>3.1936335503471502</v>
      </c>
      <c r="F204" s="7">
        <f>MIN(5,ROUNDUP(Tabelle14[[#This Row],[CO2 Normallisiert]]*2,0)/2)</f>
        <v>3.5</v>
      </c>
      <c r="G204" s="9">
        <v>405</v>
      </c>
      <c r="H204" s="6">
        <f>MAX(0,((Tabelle14[[#This Row],[Wasser / 100g]]^(1/3.5))*0.95)-2.08)</f>
        <v>3.2009341821201724</v>
      </c>
      <c r="I204" s="6">
        <f>MIN(5,ROUNDUP(Tabelle14[[#This Row],[Wasser Normallisiert]]*2,0)/2)</f>
        <v>3.5</v>
      </c>
    </row>
    <row r="205" spans="2:9" ht="15" customHeight="1" x14ac:dyDescent="0.25">
      <c r="B205" s="10">
        <v>203</v>
      </c>
      <c r="C205" s="12" t="s">
        <v>346</v>
      </c>
      <c r="D205" s="6">
        <v>453</v>
      </c>
      <c r="E205" s="6">
        <f>((Tabelle14[[#This Row],[CO2 /100g]]^(1/3.3))*0.9)-2.26</f>
        <v>3.4827611337600981</v>
      </c>
      <c r="F205" s="7">
        <f>MIN(5,ROUNDUP(Tabelle14[[#This Row],[CO2 Normallisiert]]*2,0)/2)</f>
        <v>3.5</v>
      </c>
      <c r="G205" s="9">
        <v>359</v>
      </c>
      <c r="H205" s="6">
        <f>MAX(0,((Tabelle14[[#This Row],[Wasser / 100g]]^(1/3.5))*0.95)-2.08)</f>
        <v>3.0221190807769256</v>
      </c>
      <c r="I205" s="6">
        <f>MIN(5,ROUNDUP(Tabelle14[[#This Row],[Wasser Normallisiert]]*2,0)/2)</f>
        <v>3.5</v>
      </c>
    </row>
    <row r="206" spans="2:9" ht="15" customHeight="1" x14ac:dyDescent="0.25">
      <c r="B206" s="10">
        <v>204</v>
      </c>
      <c r="C206" s="12" t="s">
        <v>347</v>
      </c>
      <c r="D206" s="6">
        <v>163</v>
      </c>
      <c r="E206" s="6">
        <f>((Tabelle14[[#This Row],[CO2 /100g]]^(1/3.3))*0.9)-2.26</f>
        <v>1.9531060351987133</v>
      </c>
      <c r="F206" s="7">
        <f>MIN(5,ROUNDUP(Tabelle14[[#This Row],[CO2 Normallisiert]]*2,0)/2)</f>
        <v>2</v>
      </c>
      <c r="G206" s="9">
        <v>124</v>
      </c>
      <c r="H206" s="6">
        <f>MAX(0,((Tabelle14[[#This Row],[Wasser / 100g]]^(1/3.5))*0.95)-2.08)</f>
        <v>1.6856858527659315</v>
      </c>
      <c r="I206" s="6">
        <f>MIN(5,ROUNDUP(Tabelle14[[#This Row],[Wasser Normallisiert]]*2,0)/2)</f>
        <v>2</v>
      </c>
    </row>
    <row r="207" spans="2:9" ht="15" customHeight="1" x14ac:dyDescent="0.25">
      <c r="B207" s="10">
        <v>205</v>
      </c>
      <c r="C207" s="12" t="s">
        <v>348</v>
      </c>
      <c r="D207" s="6">
        <v>379</v>
      </c>
      <c r="E207" s="6">
        <f>((Tabelle14[[#This Row],[CO2 /100g]]^(1/3.3))*0.9)-2.26</f>
        <v>3.1806192103471886</v>
      </c>
      <c r="F207" s="7">
        <f>MIN(5,ROUNDUP(Tabelle14[[#This Row],[CO2 Normallisiert]]*2,0)/2)</f>
        <v>3.5</v>
      </c>
      <c r="G207" s="9">
        <v>385</v>
      </c>
      <c r="H207" s="6">
        <f>MAX(0,((Tabelle14[[#This Row],[Wasser / 100g]]^(1/3.5))*0.95)-2.08)</f>
        <v>3.1250711553601853</v>
      </c>
      <c r="I207" s="6">
        <f>MIN(5,ROUNDUP(Tabelle14[[#This Row],[Wasser Normallisiert]]*2,0)/2)</f>
        <v>3.5</v>
      </c>
    </row>
    <row r="208" spans="2:9" ht="15" customHeight="1" x14ac:dyDescent="0.25">
      <c r="B208" s="10">
        <v>206</v>
      </c>
      <c r="C208" s="12" t="s">
        <v>349</v>
      </c>
      <c r="D208" s="6">
        <v>265</v>
      </c>
      <c r="E208" s="6">
        <f>((Tabelle14[[#This Row],[CO2 /100g]]^(1/3.3))*0.9)-2.26</f>
        <v>2.6215690964345173</v>
      </c>
      <c r="F208" s="7">
        <f>MIN(5,ROUNDUP(Tabelle14[[#This Row],[CO2 Normallisiert]]*2,0)/2)</f>
        <v>3</v>
      </c>
      <c r="G208" s="9">
        <v>246</v>
      </c>
      <c r="H208" s="6">
        <f>MAX(0,((Tabelle14[[#This Row],[Wasser / 100g]]^(1/3.5))*0.95)-2.08)</f>
        <v>2.4998148567641012</v>
      </c>
      <c r="I208" s="6">
        <f>MIN(5,ROUNDUP(Tabelle14[[#This Row],[Wasser Normallisiert]]*2,0)/2)</f>
        <v>2.5</v>
      </c>
    </row>
    <row r="209" spans="2:9" ht="15" customHeight="1" x14ac:dyDescent="0.25">
      <c r="B209" s="10">
        <v>207</v>
      </c>
      <c r="C209" s="12" t="s">
        <v>350</v>
      </c>
      <c r="D209" s="6">
        <v>234</v>
      </c>
      <c r="E209" s="6">
        <f>((Tabelle14[[#This Row],[CO2 /100g]]^(1/3.3))*0.9)-2.26</f>
        <v>2.440961654168194</v>
      </c>
      <c r="F209" s="7">
        <f>MIN(5,ROUNDUP(Tabelle14[[#This Row],[CO2 Normallisiert]]*2,0)/2)</f>
        <v>2.5</v>
      </c>
      <c r="G209" s="9">
        <v>238</v>
      </c>
      <c r="H209" s="6">
        <f>MAX(0,((Tabelle14[[#This Row],[Wasser / 100g]]^(1/3.5))*0.95)-2.08)</f>
        <v>2.4567577837210441</v>
      </c>
      <c r="I209" s="6">
        <f>MIN(5,ROUNDUP(Tabelle14[[#This Row],[Wasser Normallisiert]]*2,0)/2)</f>
        <v>2.5</v>
      </c>
    </row>
    <row r="210" spans="2:9" ht="15" customHeight="1" x14ac:dyDescent="0.25">
      <c r="B210" s="10">
        <v>208</v>
      </c>
      <c r="C210" s="12" t="s">
        <v>351</v>
      </c>
      <c r="D210" s="6">
        <v>255</v>
      </c>
      <c r="E210" s="6">
        <f>((Tabelle14[[#This Row],[CO2 /100g]]^(1/3.3))*0.9)-2.26</f>
        <v>2.5649976879153353</v>
      </c>
      <c r="F210" s="7">
        <f>MIN(5,ROUNDUP(Tabelle14[[#This Row],[CO2 Normallisiert]]*2,0)/2)</f>
        <v>3</v>
      </c>
      <c r="G210" s="9">
        <v>270</v>
      </c>
      <c r="H210" s="6">
        <f>MAX(0,((Tabelle14[[#This Row],[Wasser / 100g]]^(1/3.5))*0.95)-2.08)</f>
        <v>2.6232597716974748</v>
      </c>
      <c r="I210" s="6">
        <f>MIN(5,ROUNDUP(Tabelle14[[#This Row],[Wasser Normallisiert]]*2,0)/2)</f>
        <v>3</v>
      </c>
    </row>
    <row r="211" spans="2:9" ht="15" customHeight="1" x14ac:dyDescent="0.25">
      <c r="B211" s="10">
        <v>209</v>
      </c>
      <c r="C211" s="12" t="s">
        <v>352</v>
      </c>
      <c r="D211" s="6">
        <v>616</v>
      </c>
      <c r="E211" s="6">
        <f>((Tabelle14[[#This Row],[CO2 /100g]]^(1/3.3))*0.9)-2.26</f>
        <v>4.0433293252841747</v>
      </c>
      <c r="F211" s="7">
        <f>MIN(5,ROUNDUP(Tabelle14[[#This Row],[CO2 Normallisiert]]*2,0)/2)</f>
        <v>4.5</v>
      </c>
      <c r="G211" s="9">
        <v>665</v>
      </c>
      <c r="H211" s="6">
        <f>MAX(0,((Tabelle14[[#This Row],[Wasser / 100g]]^(1/3.5))*0.95)-2.08)</f>
        <v>4.0047687183460061</v>
      </c>
      <c r="I211" s="6">
        <f>MIN(5,ROUNDUP(Tabelle14[[#This Row],[Wasser Normallisiert]]*2,0)/2)</f>
        <v>4.5</v>
      </c>
    </row>
    <row r="212" spans="2:9" ht="15" customHeight="1" x14ac:dyDescent="0.25">
      <c r="B212" s="10">
        <v>210</v>
      </c>
      <c r="C212" s="12" t="s">
        <v>353</v>
      </c>
      <c r="D212" s="6">
        <v>77</v>
      </c>
      <c r="E212" s="6">
        <f>((Tabelle14[[#This Row],[CO2 /100g]]^(1/3.3))*0.9)-2.26</f>
        <v>1.0966523658497618</v>
      </c>
      <c r="F212" s="7">
        <f>MIN(5,ROUNDUP(Tabelle14[[#This Row],[CO2 Normallisiert]]*2,0)/2)</f>
        <v>1.5</v>
      </c>
      <c r="G212" s="9">
        <v>93</v>
      </c>
      <c r="H212" s="6">
        <f>MAX(0,((Tabelle14[[#This Row],[Wasser / 100g]]^(1/3.5))*0.95)-2.08)</f>
        <v>1.3885447730204259</v>
      </c>
      <c r="I212" s="6">
        <f>MIN(5,ROUNDUP(Tabelle14[[#This Row],[Wasser Normallisiert]]*2,0)/2)</f>
        <v>1.5</v>
      </c>
    </row>
    <row r="213" spans="2:9" ht="15" customHeight="1" x14ac:dyDescent="0.25">
      <c r="B213" s="10">
        <v>211</v>
      </c>
      <c r="C213" s="12" t="s">
        <v>354</v>
      </c>
      <c r="D213" s="6">
        <v>415</v>
      </c>
      <c r="E213" s="6">
        <f>((Tabelle14[[#This Row],[CO2 /100g]]^(1/3.3))*0.9)-2.26</f>
        <v>3.3322994380721713</v>
      </c>
      <c r="F213" s="7">
        <f>MIN(5,ROUNDUP(Tabelle14[[#This Row],[CO2 Normallisiert]]*2,0)/2)</f>
        <v>3.5</v>
      </c>
      <c r="G213" s="9">
        <v>297</v>
      </c>
      <c r="H213" s="6">
        <f>MAX(0,((Tabelle14[[#This Row],[Wasser / 100g]]^(1/3.5))*0.95)-2.08)</f>
        <v>2.7530962928585874</v>
      </c>
      <c r="I213" s="6">
        <f>MIN(5,ROUNDUP(Tabelle14[[#This Row],[Wasser Normallisiert]]*2,0)/2)</f>
        <v>3</v>
      </c>
    </row>
    <row r="214" spans="2:9" ht="15" customHeight="1" x14ac:dyDescent="0.25">
      <c r="B214" s="10">
        <v>212</v>
      </c>
      <c r="C214" s="12" t="s">
        <v>355</v>
      </c>
      <c r="D214" s="6">
        <v>144</v>
      </c>
      <c r="E214" s="6">
        <f>((Tabelle14[[#This Row],[CO2 /100g]]^(1/3.3))*0.9)-2.26</f>
        <v>1.7978103867229986</v>
      </c>
      <c r="F214" s="7">
        <f>MIN(5,ROUNDUP(Tabelle14[[#This Row],[CO2 Normallisiert]]*2,0)/2)</f>
        <v>2</v>
      </c>
      <c r="G214" s="9">
        <v>188</v>
      </c>
      <c r="H214" s="6">
        <f>MAX(0,((Tabelle14[[#This Row],[Wasser / 100g]]^(1/3.5))*0.95)-2.08)</f>
        <v>2.161143730834227</v>
      </c>
      <c r="I214" s="6">
        <f>MIN(5,ROUNDUP(Tabelle14[[#This Row],[Wasser Normallisiert]]*2,0)/2)</f>
        <v>2.5</v>
      </c>
    </row>
    <row r="215" spans="2:9" ht="15" customHeight="1" x14ac:dyDescent="0.25">
      <c r="B215" s="10">
        <v>213</v>
      </c>
      <c r="C215" s="12" t="s">
        <v>356</v>
      </c>
      <c r="D215" s="6">
        <v>753</v>
      </c>
      <c r="E215" s="6">
        <f>((Tabelle14[[#This Row],[CO2 /100g]]^(1/3.3))*0.9)-2.26</f>
        <v>4.4388239263924207</v>
      </c>
      <c r="F215" s="7">
        <f>MIN(5,ROUNDUP(Tabelle14[[#This Row],[CO2 Normallisiert]]*2,0)/2)</f>
        <v>4.5</v>
      </c>
      <c r="G215" s="9">
        <v>472</v>
      </c>
      <c r="H215" s="6">
        <f>MAX(0,((Tabelle14[[#This Row],[Wasser / 100g]]^(1/3.5))*0.95)-2.08)</f>
        <v>3.4370514426600254</v>
      </c>
      <c r="I215" s="6">
        <f>MIN(5,ROUNDUP(Tabelle14[[#This Row],[Wasser Normallisiert]]*2,0)/2)</f>
        <v>3.5</v>
      </c>
    </row>
    <row r="216" spans="2:9" ht="15" customHeight="1" x14ac:dyDescent="0.25">
      <c r="B216" s="10">
        <v>214</v>
      </c>
      <c r="C216" s="12" t="s">
        <v>357</v>
      </c>
      <c r="D216" s="6">
        <v>321</v>
      </c>
      <c r="E216" s="6">
        <f>((Tabelle14[[#This Row],[CO2 /100g]]^(1/3.3))*0.9)-2.26</f>
        <v>2.9135599857503944</v>
      </c>
      <c r="F216" s="7">
        <f>MIN(5,ROUNDUP(Tabelle14[[#This Row],[CO2 Normallisiert]]*2,0)/2)</f>
        <v>3</v>
      </c>
      <c r="G216" s="9">
        <v>97</v>
      </c>
      <c r="H216" s="6">
        <f>MAX(0,((Tabelle14[[#This Row],[Wasser / 100g]]^(1/3.5))*0.95)-2.08)</f>
        <v>1.4305298664418724</v>
      </c>
      <c r="I216" s="6">
        <f>MIN(5,ROUNDUP(Tabelle14[[#This Row],[Wasser Normallisiert]]*2,0)/2)</f>
        <v>1.5</v>
      </c>
    </row>
    <row r="217" spans="2:9" ht="15" customHeight="1" x14ac:dyDescent="0.25">
      <c r="B217" s="10">
        <v>215</v>
      </c>
      <c r="C217" s="12" t="s">
        <v>360</v>
      </c>
      <c r="D217" s="6">
        <v>322</v>
      </c>
      <c r="E217" s="6">
        <f>((Tabelle14[[#This Row],[CO2 /100g]]^(1/3.3))*0.9)-2.26</f>
        <v>2.918438635168644</v>
      </c>
      <c r="F217" s="7">
        <f>MIN(5,ROUNDUP(Tabelle14[[#This Row],[CO2 Normallisiert]]*2,0)/2)</f>
        <v>3</v>
      </c>
      <c r="G217" s="9">
        <v>390</v>
      </c>
      <c r="H217" s="6">
        <f>MAX(0,((Tabelle14[[#This Row],[Wasser / 100g]]^(1/3.5))*0.95)-2.08)</f>
        <v>3.144296040315079</v>
      </c>
      <c r="I217" s="6">
        <f>MIN(5,ROUNDUP(Tabelle14[[#This Row],[Wasser Normallisiert]]*2,0)/2)</f>
        <v>3.5</v>
      </c>
    </row>
    <row r="218" spans="2:9" ht="15" customHeight="1" x14ac:dyDescent="0.25">
      <c r="B218" s="10">
        <v>216</v>
      </c>
      <c r="C218" s="12" t="s">
        <v>362</v>
      </c>
      <c r="D218" s="6">
        <v>175</v>
      </c>
      <c r="E218" s="6">
        <f>((Tabelle14[[#This Row],[CO2 /100g]]^(1/3.3))*0.9)-2.26</f>
        <v>2.044780473100424</v>
      </c>
      <c r="F218" s="7">
        <f>MIN(5,ROUNDUP(Tabelle14[[#This Row],[CO2 Normallisiert]]*2,0)/2)</f>
        <v>2.5</v>
      </c>
      <c r="G218" s="9">
        <v>125</v>
      </c>
      <c r="H218" s="6">
        <f>MAX(0,((Tabelle14[[#This Row],[Wasser / 100g]]^(1/3.5))*0.95)-2.08)</f>
        <v>1.694337672333798</v>
      </c>
      <c r="I218" s="6">
        <f>MIN(5,ROUNDUP(Tabelle14[[#This Row],[Wasser Normallisiert]]*2,0)/2)</f>
        <v>2</v>
      </c>
    </row>
    <row r="219" spans="2:9" ht="15" customHeight="1" x14ac:dyDescent="0.25">
      <c r="B219" s="10">
        <v>217</v>
      </c>
      <c r="C219" s="12" t="s">
        <v>366</v>
      </c>
      <c r="D219" s="6">
        <v>305</v>
      </c>
      <c r="E219" s="6">
        <f>((Tabelle14[[#This Row],[CO2 /100g]]^(1/3.3))*0.9)-2.26</f>
        <v>2.8340199628039722</v>
      </c>
      <c r="F219" s="7">
        <f>MIN(5,ROUNDUP(Tabelle14[[#This Row],[CO2 Normallisiert]]*2,0)/2)</f>
        <v>3</v>
      </c>
      <c r="G219" s="9">
        <v>324</v>
      </c>
      <c r="H219" s="6">
        <f>MAX(0,((Tabelle14[[#This Row],[Wasser / 100g]]^(1/3.5))*0.95)-2.08)</f>
        <v>2.8747549433675568</v>
      </c>
      <c r="I219" s="6">
        <f>MIN(5,ROUNDUP(Tabelle14[[#This Row],[Wasser Normallisiert]]*2,0)/2)</f>
        <v>3</v>
      </c>
    </row>
    <row r="220" spans="2:9" ht="15" customHeight="1" x14ac:dyDescent="0.25">
      <c r="B220" s="10">
        <v>218</v>
      </c>
      <c r="C220" s="12" t="s">
        <v>369</v>
      </c>
      <c r="D220" s="6">
        <v>156</v>
      </c>
      <c r="E220" s="6">
        <f>((Tabelle14[[#This Row],[CO2 /100g]]^(1/3.3))*0.9)-2.26</f>
        <v>1.8974374234167151</v>
      </c>
      <c r="F220" s="7">
        <f>MIN(5,ROUNDUP(Tabelle14[[#This Row],[CO2 Normallisiert]]*2,0)/2)</f>
        <v>2</v>
      </c>
      <c r="G220" s="9">
        <v>220</v>
      </c>
      <c r="H220" s="6">
        <f>MAX(0,((Tabelle14[[#This Row],[Wasser / 100g]]^(1/3.5))*0.95)-2.08)</f>
        <v>2.3559559859570429</v>
      </c>
      <c r="I220" s="6">
        <f>MIN(5,ROUNDUP(Tabelle14[[#This Row],[Wasser Normallisiert]]*2,0)/2)</f>
        <v>2.5</v>
      </c>
    </row>
    <row r="221" spans="2:9" ht="15" customHeight="1" x14ac:dyDescent="0.25">
      <c r="B221" s="10">
        <v>219</v>
      </c>
      <c r="C221" s="12" t="s">
        <v>372</v>
      </c>
      <c r="D221" s="6">
        <v>223</v>
      </c>
      <c r="E221" s="6">
        <f>((Tabelle14[[#This Row],[CO2 /100g]]^(1/3.3))*0.9)-2.26</f>
        <v>2.3728692509411049</v>
      </c>
      <c r="F221" s="7">
        <f>MIN(5,ROUNDUP(Tabelle14[[#This Row],[CO2 Normallisiert]]*2,0)/2)</f>
        <v>2.5</v>
      </c>
      <c r="G221" s="9">
        <v>172</v>
      </c>
      <c r="H221" s="6">
        <f>MAX(0,((Tabelle14[[#This Row],[Wasser / 100g]]^(1/3.5))*0.95)-2.08)</f>
        <v>2.0547191801749012</v>
      </c>
      <c r="I221" s="6">
        <f>MIN(5,ROUNDUP(Tabelle14[[#This Row],[Wasser Normallisiert]]*2,0)/2)</f>
        <v>2.5</v>
      </c>
    </row>
    <row r="222" spans="2:9" ht="15" customHeight="1" x14ac:dyDescent="0.25">
      <c r="B222" s="10">
        <v>220</v>
      </c>
      <c r="C222" s="12" t="s">
        <v>376</v>
      </c>
      <c r="D222" s="6">
        <v>376</v>
      </c>
      <c r="E222" s="6">
        <f>((Tabelle14[[#This Row],[CO2 /100g]]^(1/3.3))*0.9)-2.26</f>
        <v>3.1675328719622469</v>
      </c>
      <c r="F222" s="7">
        <f>MIN(5,ROUNDUP(Tabelle14[[#This Row],[CO2 Normallisiert]]*2,0)/2)</f>
        <v>3.5</v>
      </c>
      <c r="G222" s="9">
        <v>402</v>
      </c>
      <c r="H222" s="6">
        <f>MAX(0,((Tabelle14[[#This Row],[Wasser / 100g]]^(1/3.5))*0.95)-2.08)</f>
        <v>3.1897279083811219</v>
      </c>
      <c r="I222" s="6">
        <f>MIN(5,ROUNDUP(Tabelle14[[#This Row],[Wasser Normallisiert]]*2,0)/2)</f>
        <v>3.5</v>
      </c>
    </row>
    <row r="223" spans="2:9" ht="15" customHeight="1" x14ac:dyDescent="0.25">
      <c r="B223" s="10">
        <v>221</v>
      </c>
      <c r="C223" s="12" t="s">
        <v>377</v>
      </c>
      <c r="D223" s="6">
        <v>93</v>
      </c>
      <c r="E223" s="6">
        <f>((Tabelle14[[#This Row],[CO2 /100g]]^(1/3.3))*0.9)-2.26</f>
        <v>1.2942870060972682</v>
      </c>
      <c r="F223" s="7">
        <f>MIN(5,ROUNDUP(Tabelle14[[#This Row],[CO2 Normallisiert]]*2,0)/2)</f>
        <v>1.5</v>
      </c>
      <c r="G223" s="9">
        <v>126</v>
      </c>
      <c r="H223" s="6">
        <f>MAX(0,((Tabelle14[[#This Row],[Wasser / 100g]]^(1/3.5))*0.95)-2.08)</f>
        <v>1.7029401932065982</v>
      </c>
      <c r="I223" s="6">
        <f>MIN(5,ROUNDUP(Tabelle14[[#This Row],[Wasser Normallisiert]]*2,0)/2)</f>
        <v>2</v>
      </c>
    </row>
    <row r="224" spans="2:9" ht="15" customHeight="1" x14ac:dyDescent="0.25">
      <c r="B224" s="10">
        <v>222</v>
      </c>
      <c r="C224" s="12" t="s">
        <v>378</v>
      </c>
      <c r="D224" s="6">
        <v>120</v>
      </c>
      <c r="E224" s="6">
        <f>((Tabelle14[[#This Row],[CO2 /100g]]^(1/3.3))*0.9)-2.26</f>
        <v>1.5797012262651111</v>
      </c>
      <c r="F224" s="7">
        <f>MIN(5,ROUNDUP(Tabelle14[[#This Row],[CO2 Normallisiert]]*2,0)/2)</f>
        <v>2</v>
      </c>
      <c r="G224" s="9">
        <v>151</v>
      </c>
      <c r="H224" s="6">
        <f>MAX(0,((Tabelle14[[#This Row],[Wasser / 100g]]^(1/3.5))*0.95)-2.08)</f>
        <v>1.9037167105987125</v>
      </c>
      <c r="I224" s="6">
        <f>MIN(5,ROUNDUP(Tabelle14[[#This Row],[Wasser Normallisiert]]*2,0)/2)</f>
        <v>2</v>
      </c>
    </row>
    <row r="225" spans="2:9" ht="15" customHeight="1" x14ac:dyDescent="0.25">
      <c r="B225" s="10">
        <v>223</v>
      </c>
      <c r="C225" s="12" t="s">
        <v>379</v>
      </c>
      <c r="D225" s="6">
        <v>128</v>
      </c>
      <c r="E225" s="6">
        <f>((Tabelle14[[#This Row],[CO2 /100g]]^(1/3.3))*0.9)-2.26</f>
        <v>1.6555338704786884</v>
      </c>
      <c r="F225" s="7">
        <f>MIN(5,ROUNDUP(Tabelle14[[#This Row],[CO2 Normallisiert]]*2,0)/2)</f>
        <v>2</v>
      </c>
      <c r="G225" s="9">
        <v>74</v>
      </c>
      <c r="H225" s="6">
        <f>MAX(0,((Tabelle14[[#This Row],[Wasser / 100g]]^(1/3.5))*0.95)-2.08)</f>
        <v>1.1693000027859672</v>
      </c>
      <c r="I225" s="6">
        <f>MIN(5,ROUNDUP(Tabelle14[[#This Row],[Wasser Normallisiert]]*2,0)/2)</f>
        <v>1.5</v>
      </c>
    </row>
    <row r="226" spans="2:9" ht="15" customHeight="1" x14ac:dyDescent="0.25">
      <c r="B226" s="10">
        <v>224</v>
      </c>
      <c r="C226" s="12" t="s">
        <v>380</v>
      </c>
      <c r="D226" s="6">
        <v>168</v>
      </c>
      <c r="E226" s="6">
        <f>((Tabelle14[[#This Row],[CO2 /100g]]^(1/3.3))*0.9)-2.26</f>
        <v>1.991857055509282</v>
      </c>
      <c r="F226" s="7">
        <f>MIN(5,ROUNDUP(Tabelle14[[#This Row],[CO2 Normallisiert]]*2,0)/2)</f>
        <v>2</v>
      </c>
      <c r="G226" s="9">
        <v>92</v>
      </c>
      <c r="H226" s="6">
        <f>MAX(0,((Tabelle14[[#This Row],[Wasser / 100g]]^(1/3.5))*0.95)-2.08)</f>
        <v>1.3778475463441517</v>
      </c>
      <c r="I226" s="6">
        <f>MIN(5,ROUNDUP(Tabelle14[[#This Row],[Wasser Normallisiert]]*2,0)/2)</f>
        <v>1.5</v>
      </c>
    </row>
    <row r="227" spans="2:9" ht="15" customHeight="1" x14ac:dyDescent="0.25">
      <c r="B227" s="10">
        <v>225</v>
      </c>
      <c r="C227" s="12" t="s">
        <v>382</v>
      </c>
      <c r="D227" s="6">
        <v>286</v>
      </c>
      <c r="E227" s="6">
        <f>((Tabelle14[[#This Row],[CO2 /100g]]^(1/3.3))*0.9)-2.26</f>
        <v>2.7356942763792382</v>
      </c>
      <c r="F227" s="7">
        <f>MIN(5,ROUNDUP(Tabelle14[[#This Row],[CO2 Normallisiert]]*2,0)/2)</f>
        <v>3</v>
      </c>
      <c r="G227" s="9">
        <v>235</v>
      </c>
      <c r="H227" s="6">
        <f>MAX(0,((Tabelle14[[#This Row],[Wasser / 100g]]^(1/3.5))*0.95)-2.08)</f>
        <v>2.4403448314690257</v>
      </c>
      <c r="I227" s="6">
        <f>MIN(5,ROUNDUP(Tabelle14[[#This Row],[Wasser Normallisiert]]*2,0)/2)</f>
        <v>2.5</v>
      </c>
    </row>
    <row r="228" spans="2:9" ht="15" customHeight="1" x14ac:dyDescent="0.25">
      <c r="B228" s="10">
        <v>226</v>
      </c>
      <c r="C228" s="12" t="s">
        <v>384</v>
      </c>
      <c r="D228" s="6">
        <v>189</v>
      </c>
      <c r="E228" s="6">
        <f>((Tabelle14[[#This Row],[CO2 /100g]]^(1/3.3))*0.9)-2.26</f>
        <v>2.146354355095327</v>
      </c>
      <c r="F228" s="7">
        <f>MIN(5,ROUNDUP(Tabelle14[[#This Row],[CO2 Normallisiert]]*2,0)/2)</f>
        <v>2.5</v>
      </c>
      <c r="G228" s="9">
        <v>141</v>
      </c>
      <c r="H228" s="6">
        <f>MAX(0,((Tabelle14[[#This Row],[Wasser / 100g]]^(1/3.5))*0.95)-2.08)</f>
        <v>1.8264854303787263</v>
      </c>
      <c r="I228" s="6">
        <f>MIN(5,ROUNDUP(Tabelle14[[#This Row],[Wasser Normallisiert]]*2,0)/2)</f>
        <v>2</v>
      </c>
    </row>
    <row r="229" spans="2:9" ht="15" customHeight="1" x14ac:dyDescent="0.25">
      <c r="B229" s="10">
        <v>227</v>
      </c>
      <c r="C229" s="12" t="s">
        <v>386</v>
      </c>
      <c r="D229" s="6">
        <v>184</v>
      </c>
      <c r="E229" s="6">
        <f>((Tabelle14[[#This Row],[CO2 /100g]]^(1/3.3))*0.9)-2.26</f>
        <v>2.1106994226658173</v>
      </c>
      <c r="F229" s="7">
        <f>MIN(5,ROUNDUP(Tabelle14[[#This Row],[CO2 Normallisiert]]*2,0)/2)</f>
        <v>2.5</v>
      </c>
      <c r="G229" s="9">
        <v>135</v>
      </c>
      <c r="H229" s="6">
        <f>MAX(0,((Tabelle14[[#This Row],[Wasser / 100g]]^(1/3.5))*0.95)-2.08)</f>
        <v>1.77825027921185</v>
      </c>
      <c r="I229" s="6">
        <f>MIN(5,ROUNDUP(Tabelle14[[#This Row],[Wasser Normallisiert]]*2,0)/2)</f>
        <v>2</v>
      </c>
    </row>
    <row r="230" spans="2:9" ht="15" customHeight="1" x14ac:dyDescent="0.25">
      <c r="B230" s="10">
        <v>228</v>
      </c>
      <c r="C230" s="12" t="s">
        <v>389</v>
      </c>
      <c r="D230" s="6">
        <v>125</v>
      </c>
      <c r="E230" s="6">
        <f>((Tabelle14[[#This Row],[CO2 /100g]]^(1/3.3))*0.9)-2.26</f>
        <v>1.6274944866616576</v>
      </c>
      <c r="F230" s="7">
        <f>MIN(5,ROUNDUP(Tabelle14[[#This Row],[CO2 Normallisiert]]*2,0)/2)</f>
        <v>2</v>
      </c>
      <c r="G230" s="9">
        <v>183</v>
      </c>
      <c r="H230" s="6">
        <f>MAX(0,((Tabelle14[[#This Row],[Wasser / 100g]]^(1/3.5))*0.95)-2.08)</f>
        <v>2.1286053444523985</v>
      </c>
      <c r="I230" s="6">
        <f>MIN(5,ROUNDUP(Tabelle14[[#This Row],[Wasser Normallisiert]]*2,0)/2)</f>
        <v>2.5</v>
      </c>
    </row>
    <row r="231" spans="2:9" ht="15" customHeight="1" x14ac:dyDescent="0.25">
      <c r="B231" s="10">
        <v>229</v>
      </c>
      <c r="C231" s="12" t="s">
        <v>391</v>
      </c>
      <c r="D231" s="6">
        <v>457</v>
      </c>
      <c r="E231" s="6">
        <f>((Tabelle14[[#This Row],[CO2 /100g]]^(1/3.3))*0.9)-2.26</f>
        <v>3.4980803595514915</v>
      </c>
      <c r="F231" s="7">
        <f>MIN(5,ROUNDUP(Tabelle14[[#This Row],[CO2 Normallisiert]]*2,0)/2)</f>
        <v>3.5</v>
      </c>
      <c r="G231" s="9">
        <v>452</v>
      </c>
      <c r="H231" s="6">
        <f>MAX(0,((Tabelle14[[#This Row],[Wasser / 100g]]^(1/3.5))*0.95)-2.08)</f>
        <v>3.369223070858741</v>
      </c>
      <c r="I231" s="6">
        <f>MIN(5,ROUNDUP(Tabelle14[[#This Row],[Wasser Normallisiert]]*2,0)/2)</f>
        <v>3.5</v>
      </c>
    </row>
    <row r="232" spans="2:9" ht="15" customHeight="1" x14ac:dyDescent="0.25">
      <c r="B232" s="10">
        <v>230</v>
      </c>
      <c r="C232" s="12" t="s">
        <v>394</v>
      </c>
      <c r="D232" s="6">
        <v>21</v>
      </c>
      <c r="E232" s="6">
        <f>((Tabelle14[[#This Row],[CO2 /100g]]^(1/3.3))*0.9)-2.26</f>
        <v>4.2012352712990086E-3</v>
      </c>
      <c r="F232" s="7">
        <f>MIN(5,ROUNDUP(Tabelle14[[#This Row],[CO2 Normallisiert]]*2,0)/2)</f>
        <v>0.5</v>
      </c>
      <c r="G232" s="9">
        <v>79</v>
      </c>
      <c r="H232" s="6">
        <f>MAX(0,((Tabelle14[[#This Row],[Wasser / 100g]]^(1/3.5))*0.95)-2.08)</f>
        <v>1.2305699925330109</v>
      </c>
      <c r="I232" s="6">
        <f>MIN(5,ROUNDUP(Tabelle14[[#This Row],[Wasser Normallisiert]]*2,0)/2)</f>
        <v>1.5</v>
      </c>
    </row>
    <row r="233" spans="2:9" ht="15" customHeight="1" x14ac:dyDescent="0.25">
      <c r="B233" s="10">
        <v>231</v>
      </c>
      <c r="C233" s="12" t="s">
        <v>395</v>
      </c>
      <c r="D233" s="6">
        <v>343</v>
      </c>
      <c r="E233" s="6">
        <f>((Tabelle14[[#This Row],[CO2 /100g]]^(1/3.3))*0.9)-2.26</f>
        <v>3.0185355999523722</v>
      </c>
      <c r="F233" s="7">
        <f>MIN(5,ROUNDUP(Tabelle14[[#This Row],[CO2 Normallisiert]]*2,0)/2)</f>
        <v>3.5</v>
      </c>
      <c r="G233" s="9">
        <v>323</v>
      </c>
      <c r="H233" s="6">
        <f>MAX(0,((Tabelle14[[#This Row],[Wasser / 100g]]^(1/3.5))*0.95)-2.08)</f>
        <v>2.8703808462012708</v>
      </c>
      <c r="I233" s="6">
        <f>MIN(5,ROUNDUP(Tabelle14[[#This Row],[Wasser Normallisiert]]*2,0)/2)</f>
        <v>3</v>
      </c>
    </row>
    <row r="234" spans="2:9" ht="15" customHeight="1" x14ac:dyDescent="0.25">
      <c r="B234" s="10">
        <v>232</v>
      </c>
      <c r="C234" s="12" t="s">
        <v>397</v>
      </c>
      <c r="D234" s="6">
        <v>360</v>
      </c>
      <c r="E234" s="6">
        <f>((Tabelle14[[#This Row],[CO2 /100g]]^(1/3.3))*0.9)-2.26</f>
        <v>3.0964817661832535</v>
      </c>
      <c r="F234" s="7">
        <f>MIN(5,ROUNDUP(Tabelle14[[#This Row],[CO2 Normallisiert]]*2,0)/2)</f>
        <v>3.5</v>
      </c>
      <c r="G234" s="9">
        <v>276</v>
      </c>
      <c r="H234" s="6">
        <f>MAX(0,((Tabelle14[[#This Row],[Wasser / 100g]]^(1/3.5))*0.95)-2.08)</f>
        <v>2.6528877036404745</v>
      </c>
      <c r="I234" s="6">
        <f>MIN(5,ROUNDUP(Tabelle14[[#This Row],[Wasser Normallisiert]]*2,0)/2)</f>
        <v>3</v>
      </c>
    </row>
    <row r="235" spans="2:9" ht="15" customHeight="1" x14ac:dyDescent="0.25">
      <c r="B235" s="10">
        <v>233</v>
      </c>
      <c r="C235" s="12" t="s">
        <v>399</v>
      </c>
      <c r="D235" s="6">
        <v>316</v>
      </c>
      <c r="E235" s="6">
        <f>((Tabelle14[[#This Row],[CO2 /100g]]^(1/3.3))*0.9)-2.26</f>
        <v>2.8890065414261814</v>
      </c>
      <c r="F235" s="7">
        <f>MIN(5,ROUNDUP(Tabelle14[[#This Row],[CO2 Normallisiert]]*2,0)/2)</f>
        <v>3</v>
      </c>
      <c r="G235" s="9">
        <v>312</v>
      </c>
      <c r="H235" s="6">
        <f>MAX(0,((Tabelle14[[#This Row],[Wasser / 100g]]^(1/3.5))*0.95)-2.08)</f>
        <v>2.8216150814768195</v>
      </c>
      <c r="I235" s="6">
        <f>MIN(5,ROUNDUP(Tabelle14[[#This Row],[Wasser Normallisiert]]*2,0)/2)</f>
        <v>3</v>
      </c>
    </row>
    <row r="236" spans="2:9" ht="15" customHeight="1" x14ac:dyDescent="0.25">
      <c r="B236" s="10">
        <v>234</v>
      </c>
      <c r="C236" s="12" t="s">
        <v>404</v>
      </c>
      <c r="D236" s="6">
        <v>88</v>
      </c>
      <c r="E236" s="6">
        <f>((Tabelle14[[#This Row],[CO2 /100g]]^(1/3.3))*0.9)-2.26</f>
        <v>1.2352615766941573</v>
      </c>
      <c r="F236" s="7">
        <f>MIN(5,ROUNDUP(Tabelle14[[#This Row],[CO2 Normallisiert]]*2,0)/2)</f>
        <v>1.5</v>
      </c>
      <c r="G236" s="9">
        <v>195</v>
      </c>
      <c r="H236" s="6">
        <f>MAX(0,((Tabelle14[[#This Row],[Wasser / 100g]]^(1/3.5))*0.95)-2.08)</f>
        <v>2.2056747521211628</v>
      </c>
      <c r="I236" s="6">
        <f>MIN(5,ROUNDUP(Tabelle14[[#This Row],[Wasser Normallisiert]]*2,0)/2)</f>
        <v>2.5</v>
      </c>
    </row>
    <row r="237" spans="2:9" ht="15" customHeight="1" x14ac:dyDescent="0.25">
      <c r="B237" s="10">
        <v>235</v>
      </c>
      <c r="C237" s="12" t="s">
        <v>406</v>
      </c>
      <c r="D237" s="6">
        <v>375</v>
      </c>
      <c r="E237" s="6">
        <f>((Tabelle14[[#This Row],[CO2 /100g]]^(1/3.3))*0.9)-2.26</f>
        <v>3.1631545911700982</v>
      </c>
      <c r="F237" s="7">
        <f>MIN(5,ROUNDUP(Tabelle14[[#This Row],[CO2 Normallisiert]]*2,0)/2)</f>
        <v>3.5</v>
      </c>
      <c r="G237" s="9">
        <v>135</v>
      </c>
      <c r="H237" s="6">
        <f>MAX(0,((Tabelle14[[#This Row],[Wasser / 100g]]^(1/3.5))*0.95)-2.08)</f>
        <v>1.77825027921185</v>
      </c>
      <c r="I237" s="6">
        <f>MIN(5,ROUNDUP(Tabelle14[[#This Row],[Wasser Normallisiert]]*2,0)/2)</f>
        <v>2</v>
      </c>
    </row>
    <row r="238" spans="2:9" ht="15" customHeight="1" x14ac:dyDescent="0.25">
      <c r="B238" s="10">
        <v>236</v>
      </c>
      <c r="C238" s="12" t="s">
        <v>408</v>
      </c>
      <c r="D238" s="6">
        <v>416</v>
      </c>
      <c r="E238" s="6">
        <f>((Tabelle14[[#This Row],[CO2 /100g]]^(1/3.3))*0.9)-2.26</f>
        <v>3.3363794744713173</v>
      </c>
      <c r="F238" s="7">
        <f>MIN(5,ROUNDUP(Tabelle14[[#This Row],[CO2 Normallisiert]]*2,0)/2)</f>
        <v>3.5</v>
      </c>
      <c r="G238" s="9">
        <v>306</v>
      </c>
      <c r="H238" s="6">
        <f>MAX(0,((Tabelle14[[#This Row],[Wasser / 100g]]^(1/3.5))*0.95)-2.08)</f>
        <v>2.7944960987174792</v>
      </c>
      <c r="I238" s="6">
        <f>MIN(5,ROUNDUP(Tabelle14[[#This Row],[Wasser Normallisiert]]*2,0)/2)</f>
        <v>3</v>
      </c>
    </row>
    <row r="239" spans="2:9" ht="15" customHeight="1" x14ac:dyDescent="0.25">
      <c r="B239" s="10">
        <v>237</v>
      </c>
      <c r="C239" s="12" t="s">
        <v>410</v>
      </c>
      <c r="D239" s="6">
        <v>54</v>
      </c>
      <c r="E239" s="6">
        <f>((Tabelle14[[#This Row],[CO2 /100g]]^(1/3.3))*0.9)-2.26</f>
        <v>0.75446548359463161</v>
      </c>
      <c r="F239" s="7">
        <f>MIN(5,ROUNDUP(Tabelle14[[#This Row],[CO2 Normallisiert]]*2,0)/2)</f>
        <v>1</v>
      </c>
      <c r="G239" s="9">
        <v>57</v>
      </c>
      <c r="H239" s="6">
        <f>MAX(0,((Tabelle14[[#This Row],[Wasser / 100g]]^(1/3.5))*0.95)-2.08)</f>
        <v>0.93579721267370308</v>
      </c>
      <c r="I239" s="6">
        <f>MIN(5,ROUNDUP(Tabelle14[[#This Row],[Wasser Normallisiert]]*2,0)/2)</f>
        <v>1</v>
      </c>
    </row>
    <row r="240" spans="2:9" ht="15" customHeight="1" x14ac:dyDescent="0.25">
      <c r="B240" s="10">
        <v>238</v>
      </c>
      <c r="C240" s="12" t="s">
        <v>413</v>
      </c>
      <c r="D240" s="6">
        <v>788</v>
      </c>
      <c r="E240" s="6">
        <f>((Tabelle14[[#This Row],[CO2 /100g]]^(1/3.3))*0.9)-2.26</f>
        <v>4.5316880000927497</v>
      </c>
      <c r="F240" s="7">
        <f>MIN(5,ROUNDUP(Tabelle14[[#This Row],[CO2 Normallisiert]]*2,0)/2)</f>
        <v>5</v>
      </c>
      <c r="G240" s="9">
        <v>123</v>
      </c>
      <c r="H240" s="6">
        <f>MAX(0,((Tabelle14[[#This Row],[Wasser / 100g]]^(1/3.5))*0.95)-2.08)</f>
        <v>1.6769840509726475</v>
      </c>
      <c r="I240" s="6">
        <f>MIN(5,ROUNDUP(Tabelle14[[#This Row],[Wasser Normallisiert]]*2,0)/2)</f>
        <v>2</v>
      </c>
    </row>
    <row r="241" spans="2:9" ht="15" customHeight="1" x14ac:dyDescent="0.25">
      <c r="B241" s="10">
        <v>239</v>
      </c>
      <c r="C241" s="12" t="s">
        <v>414</v>
      </c>
      <c r="D241" s="6">
        <v>182</v>
      </c>
      <c r="E241" s="6">
        <f>((Tabelle14[[#This Row],[CO2 /100g]]^(1/3.3))*0.9)-2.26</f>
        <v>2.0962483105249579</v>
      </c>
      <c r="F241" s="7">
        <f>MIN(5,ROUNDUP(Tabelle14[[#This Row],[CO2 Normallisiert]]*2,0)/2)</f>
        <v>2.5</v>
      </c>
      <c r="G241" s="9">
        <v>152</v>
      </c>
      <c r="H241" s="6">
        <f>MAX(0,((Tabelle14[[#This Row],[Wasser / 100g]]^(1/3.5))*0.95)-2.08)</f>
        <v>1.9112367294874053</v>
      </c>
      <c r="I241" s="6">
        <f>MIN(5,ROUNDUP(Tabelle14[[#This Row],[Wasser Normallisiert]]*2,0)/2)</f>
        <v>2</v>
      </c>
    </row>
    <row r="242" spans="2:9" ht="15" customHeight="1" x14ac:dyDescent="0.25">
      <c r="B242" s="10">
        <v>240</v>
      </c>
      <c r="C242" s="12" t="s">
        <v>417</v>
      </c>
      <c r="D242" s="6">
        <v>269</v>
      </c>
      <c r="E242" s="6">
        <f>((Tabelle14[[#This Row],[CO2 /100g]]^(1/3.3))*0.9)-2.26</f>
        <v>2.6437811415024193</v>
      </c>
      <c r="F242" s="7">
        <f>MIN(5,ROUNDUP(Tabelle14[[#This Row],[CO2 Normallisiert]]*2,0)/2)</f>
        <v>3</v>
      </c>
      <c r="G242" s="9">
        <v>200</v>
      </c>
      <c r="H242" s="6">
        <f>MAX(0,((Tabelle14[[#This Row],[Wasser / 100g]]^(1/3.5))*0.95)-2.08)</f>
        <v>2.236788260271231</v>
      </c>
      <c r="I242" s="6">
        <f>MIN(5,ROUNDUP(Tabelle14[[#This Row],[Wasser Normallisiert]]*2,0)/2)</f>
        <v>2.5</v>
      </c>
    </row>
    <row r="243" spans="2:9" ht="15" customHeight="1" x14ac:dyDescent="0.25">
      <c r="B243" s="10">
        <v>241</v>
      </c>
      <c r="C243" s="12" t="s">
        <v>419</v>
      </c>
      <c r="D243" s="6">
        <v>216</v>
      </c>
      <c r="E243" s="6">
        <f>((Tabelle14[[#This Row],[CO2 /100g]]^(1/3.3))*0.9)-2.26</f>
        <v>2.3283098373115827</v>
      </c>
      <c r="F243" s="7">
        <f>MIN(5,ROUNDUP(Tabelle14[[#This Row],[CO2 Normallisiert]]*2,0)/2)</f>
        <v>2.5</v>
      </c>
      <c r="G243" s="9">
        <v>172</v>
      </c>
      <c r="H243" s="6">
        <f>MAX(0,((Tabelle14[[#This Row],[Wasser / 100g]]^(1/3.5))*0.95)-2.08)</f>
        <v>2.0547191801749012</v>
      </c>
      <c r="I243" s="6">
        <f>MIN(5,ROUNDUP(Tabelle14[[#This Row],[Wasser Normallisiert]]*2,0)/2)</f>
        <v>2.5</v>
      </c>
    </row>
    <row r="244" spans="2:9" ht="15" customHeight="1" x14ac:dyDescent="0.25">
      <c r="B244" s="10">
        <v>242</v>
      </c>
      <c r="C244" s="12" t="s">
        <v>421</v>
      </c>
      <c r="D244" s="6">
        <v>112</v>
      </c>
      <c r="E244" s="6">
        <f>((Tabelle14[[#This Row],[CO2 /100g]]^(1/3.3))*0.9)-2.26</f>
        <v>1.500258207151977</v>
      </c>
      <c r="F244" s="7">
        <f>MIN(5,ROUNDUP(Tabelle14[[#This Row],[CO2 Normallisiert]]*2,0)/2)</f>
        <v>2</v>
      </c>
      <c r="G244" s="9">
        <v>93</v>
      </c>
      <c r="H244" s="6">
        <f>MAX(0,((Tabelle14[[#This Row],[Wasser / 100g]]^(1/3.5))*0.95)-2.08)</f>
        <v>1.3885447730204259</v>
      </c>
      <c r="I244" s="6">
        <f>MIN(5,ROUNDUP(Tabelle14[[#This Row],[Wasser Normallisiert]]*2,0)/2)</f>
        <v>1.5</v>
      </c>
    </row>
    <row r="245" spans="2:9" ht="15" customHeight="1" x14ac:dyDescent="0.25">
      <c r="B245" s="10">
        <v>243</v>
      </c>
      <c r="C245" s="12" t="s">
        <v>423</v>
      </c>
      <c r="D245" s="6">
        <v>60</v>
      </c>
      <c r="E245" s="6">
        <f>((Tabelle14[[#This Row],[CO2 /100g]]^(1/3.3))*0.9)-2.26</f>
        <v>0.85226251271128728</v>
      </c>
      <c r="F245" s="7">
        <f>MIN(5,ROUNDUP(Tabelle14[[#This Row],[CO2 Normallisiert]]*2,0)/2)</f>
        <v>1</v>
      </c>
      <c r="G245" s="9">
        <v>34</v>
      </c>
      <c r="H245" s="6">
        <f>MAX(0,((Tabelle14[[#This Row],[Wasser / 100g]]^(1/3.5))*0.95)-2.08)</f>
        <v>0.52189046847153486</v>
      </c>
      <c r="I245" s="6">
        <f>MIN(5,ROUNDUP(Tabelle14[[#This Row],[Wasser Normallisiert]]*2,0)/2)</f>
        <v>1</v>
      </c>
    </row>
    <row r="246" spans="2:9" ht="15" customHeight="1" x14ac:dyDescent="0.25">
      <c r="B246" s="10">
        <v>244</v>
      </c>
      <c r="C246" s="12" t="s">
        <v>427</v>
      </c>
      <c r="D246" s="6">
        <v>208</v>
      </c>
      <c r="E246" s="6">
        <f>((Tabelle14[[#This Row],[CO2 /100g]]^(1/3.3))*0.9)-2.26</f>
        <v>2.2761347195875272</v>
      </c>
      <c r="F246" s="7">
        <f>MIN(5,ROUNDUP(Tabelle14[[#This Row],[CO2 Normallisiert]]*2,0)/2)</f>
        <v>2.5</v>
      </c>
      <c r="G246" s="9">
        <v>157</v>
      </c>
      <c r="H246" s="6">
        <f>MAX(0,((Tabelle14[[#This Row],[Wasser / 100g]]^(1/3.5))*0.95)-2.08)</f>
        <v>1.9483157649884291</v>
      </c>
      <c r="I246" s="6">
        <f>MIN(5,ROUNDUP(Tabelle14[[#This Row],[Wasser Normallisiert]]*2,0)/2)</f>
        <v>2</v>
      </c>
    </row>
    <row r="247" spans="2:9" ht="15" customHeight="1" x14ac:dyDescent="0.25">
      <c r="B247" s="10">
        <v>245</v>
      </c>
      <c r="C247" s="12" t="s">
        <v>430</v>
      </c>
      <c r="D247" s="6">
        <v>225</v>
      </c>
      <c r="E247" s="6">
        <f>((Tabelle14[[#This Row],[CO2 /100g]]^(1/3.3))*0.9)-2.26</f>
        <v>2.385421126422993</v>
      </c>
      <c r="F247" s="7">
        <f>MIN(5,ROUNDUP(Tabelle14[[#This Row],[CO2 Normallisiert]]*2,0)/2)</f>
        <v>2.5</v>
      </c>
      <c r="G247" s="9">
        <v>195</v>
      </c>
      <c r="H247" s="6">
        <f>MAX(0,((Tabelle14[[#This Row],[Wasser / 100g]]^(1/3.5))*0.95)-2.08)</f>
        <v>2.2056747521211628</v>
      </c>
      <c r="I247" s="6">
        <f>MIN(5,ROUNDUP(Tabelle14[[#This Row],[Wasser Normallisiert]]*2,0)/2)</f>
        <v>2.5</v>
      </c>
    </row>
    <row r="248" spans="2:9" ht="15" customHeight="1" x14ac:dyDescent="0.25">
      <c r="B248" s="10">
        <v>246</v>
      </c>
      <c r="C248" s="12" t="s">
        <v>432</v>
      </c>
      <c r="D248" s="6">
        <v>399</v>
      </c>
      <c r="E248" s="6">
        <f>((Tabelle14[[#This Row],[CO2 /100g]]^(1/3.3))*0.9)-2.26</f>
        <v>3.2660665933313631</v>
      </c>
      <c r="F248" s="7">
        <f>MIN(5,ROUNDUP(Tabelle14[[#This Row],[CO2 Normallisiert]]*2,0)/2)</f>
        <v>3.5</v>
      </c>
      <c r="G248" s="9">
        <v>458</v>
      </c>
      <c r="H248" s="6">
        <f>MAX(0,((Tabelle14[[#This Row],[Wasser / 100g]]^(1/3.5))*0.95)-2.08)</f>
        <v>3.3897929194707652</v>
      </c>
      <c r="I248" s="6">
        <f>MIN(5,ROUNDUP(Tabelle14[[#This Row],[Wasser Normallisiert]]*2,0)/2)</f>
        <v>3.5</v>
      </c>
    </row>
    <row r="249" spans="2:9" ht="15" customHeight="1" x14ac:dyDescent="0.25">
      <c r="B249" s="10">
        <v>247</v>
      </c>
      <c r="C249" s="12" t="s">
        <v>435</v>
      </c>
      <c r="D249" s="6">
        <v>185</v>
      </c>
      <c r="E249" s="6">
        <f>((Tabelle14[[#This Row],[CO2 /100g]]^(1/3.3))*0.9)-2.26</f>
        <v>2.1178839531959186</v>
      </c>
      <c r="F249" s="7">
        <f>MIN(5,ROUNDUP(Tabelle14[[#This Row],[CO2 Normallisiert]]*2,0)/2)</f>
        <v>2.5</v>
      </c>
      <c r="G249" s="9">
        <v>177</v>
      </c>
      <c r="H249" s="6">
        <f>MAX(0,((Tabelle14[[#This Row],[Wasser / 100g]]^(1/3.5))*0.95)-2.08)</f>
        <v>2.0887099740356403</v>
      </c>
      <c r="I249" s="6">
        <f>MIN(5,ROUNDUP(Tabelle14[[#This Row],[Wasser Normallisiert]]*2,0)/2)</f>
        <v>2.5</v>
      </c>
    </row>
    <row r="250" spans="2:9" ht="15" customHeight="1" x14ac:dyDescent="0.25">
      <c r="B250" s="10">
        <v>248</v>
      </c>
      <c r="C250" s="12" t="s">
        <v>440</v>
      </c>
      <c r="D250" s="6">
        <v>366</v>
      </c>
      <c r="E250" s="6">
        <f>((Tabelle14[[#This Row],[CO2 /100g]]^(1/3.3))*0.9)-2.26</f>
        <v>3.1233790436206883</v>
      </c>
      <c r="F250" s="7">
        <f>MIN(5,ROUNDUP(Tabelle14[[#This Row],[CO2 Normallisiert]]*2,0)/2)</f>
        <v>3.5</v>
      </c>
      <c r="G250" s="9">
        <v>100</v>
      </c>
      <c r="H250" s="6">
        <f>MAX(0,((Tabelle14[[#This Row],[Wasser / 100g]]^(1/3.5))*0.95)-2.08)</f>
        <v>1.4612140342991928</v>
      </c>
      <c r="I250" s="6">
        <f>MIN(5,ROUNDUP(Tabelle14[[#This Row],[Wasser Normallisiert]]*2,0)/2)</f>
        <v>1.5</v>
      </c>
    </row>
    <row r="251" spans="2:9" ht="15" customHeight="1" x14ac:dyDescent="0.25">
      <c r="B251" s="10">
        <v>249</v>
      </c>
      <c r="C251" s="12" t="s">
        <v>442</v>
      </c>
      <c r="D251" s="6">
        <v>50</v>
      </c>
      <c r="E251" s="6">
        <f>((Tabelle14[[#This Row],[CO2 /100g]]^(1/3.3))*0.9)-2.26</f>
        <v>0.68497698207312263</v>
      </c>
      <c r="F251" s="7">
        <f>MIN(5,ROUNDUP(Tabelle14[[#This Row],[CO2 Normallisiert]]*2,0)/2)</f>
        <v>1</v>
      </c>
      <c r="G251" s="9">
        <v>38</v>
      </c>
      <c r="H251" s="6">
        <f>MAX(0,((Tabelle14[[#This Row],[Wasser / 100g]]^(1/3.5))*0.95)-2.08)</f>
        <v>0.60590314152921687</v>
      </c>
      <c r="I251" s="6">
        <f>MIN(5,ROUNDUP(Tabelle14[[#This Row],[Wasser Normallisiert]]*2,0)/2)</f>
        <v>1</v>
      </c>
    </row>
    <row r="252" spans="2:9" ht="15" customHeight="1" x14ac:dyDescent="0.25">
      <c r="B252" s="10">
        <v>250</v>
      </c>
      <c r="C252" s="12" t="s">
        <v>446</v>
      </c>
      <c r="D252" s="6">
        <v>260</v>
      </c>
      <c r="E252" s="6">
        <f>((Tabelle14[[#This Row],[CO2 /100g]]^(1/3.3))*0.9)-2.26</f>
        <v>2.5934729654673188</v>
      </c>
      <c r="F252" s="7">
        <f>MIN(5,ROUNDUP(Tabelle14[[#This Row],[CO2 Normallisiert]]*2,0)/2)</f>
        <v>3</v>
      </c>
      <c r="G252" s="9">
        <v>291</v>
      </c>
      <c r="H252" s="6">
        <f>MAX(0,((Tabelle14[[#This Row],[Wasser / 100g]]^(1/3.5))*0.95)-2.08)</f>
        <v>2.7249960027045486</v>
      </c>
      <c r="I252" s="6">
        <f>MIN(5,ROUNDUP(Tabelle14[[#This Row],[Wasser Normallisiert]]*2,0)/2)</f>
        <v>3</v>
      </c>
    </row>
    <row r="253" spans="2:9" ht="15" customHeight="1" x14ac:dyDescent="0.25">
      <c r="B253" s="10">
        <v>251</v>
      </c>
      <c r="C253" s="12" t="s">
        <v>448</v>
      </c>
      <c r="D253" s="6">
        <v>103</v>
      </c>
      <c r="E253" s="6">
        <f>((Tabelle14[[#This Row],[CO2 /100g]]^(1/3.3))*0.9)-2.26</f>
        <v>1.4060061027630808</v>
      </c>
      <c r="F253" s="7">
        <f>MIN(5,ROUNDUP(Tabelle14[[#This Row],[CO2 Normallisiert]]*2,0)/2)</f>
        <v>1.5</v>
      </c>
      <c r="G253" s="9">
        <v>97</v>
      </c>
      <c r="H253" s="6">
        <f>MAX(0,((Tabelle14[[#This Row],[Wasser / 100g]]^(1/3.5))*0.95)-2.08)</f>
        <v>1.4305298664418724</v>
      </c>
      <c r="I253" s="6">
        <f>MIN(5,ROUNDUP(Tabelle14[[#This Row],[Wasser Normallisiert]]*2,0)/2)</f>
        <v>1.5</v>
      </c>
    </row>
    <row r="254" spans="2:9" ht="15" customHeight="1" x14ac:dyDescent="0.25">
      <c r="B254" s="10">
        <v>252</v>
      </c>
      <c r="C254" s="12" t="s">
        <v>450</v>
      </c>
      <c r="D254" s="6">
        <v>212</v>
      </c>
      <c r="E254" s="6">
        <f>((Tabelle14[[#This Row],[CO2 /100g]]^(1/3.3))*0.9)-2.26</f>
        <v>2.3023938202507397</v>
      </c>
      <c r="F254" s="7">
        <f>MIN(5,ROUNDUP(Tabelle14[[#This Row],[CO2 Normallisiert]]*2,0)/2)</f>
        <v>2.5</v>
      </c>
      <c r="G254" s="9">
        <v>145</v>
      </c>
      <c r="H254" s="6">
        <f>MAX(0,((Tabelle14[[#This Row],[Wasser / 100g]]^(1/3.5))*0.95)-2.08)</f>
        <v>1.8578332363249848</v>
      </c>
      <c r="I254" s="6">
        <f>MIN(5,ROUNDUP(Tabelle14[[#This Row],[Wasser Normallisiert]]*2,0)/2)</f>
        <v>2</v>
      </c>
    </row>
    <row r="255" spans="2:9" ht="15" customHeight="1" x14ac:dyDescent="0.25">
      <c r="B255" s="10">
        <v>253</v>
      </c>
      <c r="C255" s="12" t="s">
        <v>452</v>
      </c>
      <c r="D255" s="6">
        <v>739</v>
      </c>
      <c r="E255" s="6">
        <f>((Tabelle14[[#This Row],[CO2 /100g]]^(1/3.3))*0.9)-2.26</f>
        <v>4.4008354187247498</v>
      </c>
      <c r="F255" s="7">
        <f>MIN(5,ROUNDUP(Tabelle14[[#This Row],[CO2 Normallisiert]]*2,0)/2)</f>
        <v>4.5</v>
      </c>
      <c r="G255" s="9">
        <v>534</v>
      </c>
      <c r="H255" s="6">
        <f>MAX(0,((Tabelle14[[#This Row],[Wasser / 100g]]^(1/3.5))*0.95)-2.08)</f>
        <v>3.6350641197859614</v>
      </c>
      <c r="I255" s="6">
        <f>MIN(5,ROUNDUP(Tabelle14[[#This Row],[Wasser Normallisiert]]*2,0)/2)</f>
        <v>4</v>
      </c>
    </row>
    <row r="256" spans="2:9" ht="15" customHeight="1" x14ac:dyDescent="0.25">
      <c r="B256" s="10">
        <v>254</v>
      </c>
      <c r="C256" s="12" t="s">
        <v>454</v>
      </c>
      <c r="D256" s="6">
        <v>145</v>
      </c>
      <c r="E256" s="6">
        <f>((Tabelle14[[#This Row],[CO2 /100g]]^(1/3.3))*0.9)-2.26</f>
        <v>1.806328965729838</v>
      </c>
      <c r="F256" s="7">
        <f>MIN(5,ROUNDUP(Tabelle14[[#This Row],[CO2 Normallisiert]]*2,0)/2)</f>
        <v>2</v>
      </c>
      <c r="G256" s="9">
        <v>176</v>
      </c>
      <c r="H256" s="6">
        <f>MAX(0,((Tabelle14[[#This Row],[Wasser / 100g]]^(1/3.5))*0.95)-2.08)</f>
        <v>2.0819671997422002</v>
      </c>
      <c r="I256" s="6">
        <f>MIN(5,ROUNDUP(Tabelle14[[#This Row],[Wasser Normallisiert]]*2,0)/2)</f>
        <v>2.5</v>
      </c>
    </row>
    <row r="257" spans="2:9" ht="15" customHeight="1" x14ac:dyDescent="0.25">
      <c r="B257" s="10">
        <v>255</v>
      </c>
      <c r="C257" s="12" t="s">
        <v>458</v>
      </c>
      <c r="D257" s="6">
        <v>55</v>
      </c>
      <c r="E257" s="6">
        <f>((Tabelle14[[#This Row],[CO2 /100g]]^(1/3.3))*0.9)-2.26</f>
        <v>0.77127363809158966</v>
      </c>
      <c r="F257" s="7">
        <f>MIN(5,ROUNDUP(Tabelle14[[#This Row],[CO2 Normallisiert]]*2,0)/2)</f>
        <v>1</v>
      </c>
      <c r="G257" s="9">
        <v>50</v>
      </c>
      <c r="H257" s="6">
        <f>MAX(0,((Tabelle14[[#This Row],[Wasser / 100g]]^(1/3.5))*0.95)-2.08)</f>
        <v>0.82498307552607208</v>
      </c>
      <c r="I257" s="6">
        <f>MIN(5,ROUNDUP(Tabelle14[[#This Row],[Wasser Normallisiert]]*2,0)/2)</f>
        <v>1</v>
      </c>
    </row>
    <row r="258" spans="2:9" ht="15" customHeight="1" x14ac:dyDescent="0.25">
      <c r="B258" s="10">
        <v>256</v>
      </c>
      <c r="C258" s="12" t="s">
        <v>463</v>
      </c>
      <c r="D258" s="6">
        <v>429</v>
      </c>
      <c r="E258" s="6">
        <f>((Tabelle14[[#This Row],[CO2 /100g]]^(1/3.3))*0.9)-2.26</f>
        <v>3.3888083493283121</v>
      </c>
      <c r="F258" s="7">
        <f>MIN(5,ROUNDUP(Tabelle14[[#This Row],[CO2 Normallisiert]]*2,0)/2)</f>
        <v>3.5</v>
      </c>
      <c r="G258" s="9">
        <v>473</v>
      </c>
      <c r="H258" s="6">
        <f>MAX(0,((Tabelle14[[#This Row],[Wasser / 100g]]^(1/3.5))*0.95)-2.08)</f>
        <v>3.4403885382804331</v>
      </c>
      <c r="I258" s="6">
        <f>MIN(5,ROUNDUP(Tabelle14[[#This Row],[Wasser Normallisiert]]*2,0)/2)</f>
        <v>3.5</v>
      </c>
    </row>
    <row r="259" spans="2:9" ht="15" customHeight="1" x14ac:dyDescent="0.25">
      <c r="B259" s="10">
        <v>257</v>
      </c>
      <c r="C259" s="12" t="s">
        <v>465</v>
      </c>
      <c r="D259" s="6">
        <v>446</v>
      </c>
      <c r="E259" s="6">
        <f>((Tabelle14[[#This Row],[CO2 /100g]]^(1/3.3))*0.9)-2.26</f>
        <v>3.4557240661127633</v>
      </c>
      <c r="F259" s="7">
        <f>MIN(5,ROUNDUP(Tabelle14[[#This Row],[CO2 Normallisiert]]*2,0)/2)</f>
        <v>3.5</v>
      </c>
      <c r="G259" s="9">
        <v>414</v>
      </c>
      <c r="H259" s="6">
        <f>MAX(0,((Tabelle14[[#This Row],[Wasser / 100g]]^(1/3.5))*0.95)-2.08)</f>
        <v>3.2342011429384678</v>
      </c>
      <c r="I259" s="6">
        <f>MIN(5,ROUNDUP(Tabelle14[[#This Row],[Wasser Normallisiert]]*2,0)/2)</f>
        <v>3.5</v>
      </c>
    </row>
    <row r="260" spans="2:9" ht="15" customHeight="1" x14ac:dyDescent="0.25">
      <c r="B260" s="10">
        <v>258</v>
      </c>
      <c r="C260" s="12" t="s">
        <v>470</v>
      </c>
      <c r="D260" s="6">
        <v>100</v>
      </c>
      <c r="E260" s="6">
        <f>((Tabelle14[[#This Row],[CO2 /100g]]^(1/3.3))*0.9)-2.26</f>
        <v>1.3733155327369002</v>
      </c>
      <c r="F260" s="7">
        <f>MIN(5,ROUNDUP(Tabelle14[[#This Row],[CO2 Normallisiert]]*2,0)/2)</f>
        <v>1.5</v>
      </c>
      <c r="G260" s="9">
        <v>80</v>
      </c>
      <c r="H260" s="6">
        <f>MAX(0,((Tabelle14[[#This Row],[Wasser / 100g]]^(1/3.5))*0.95)-2.08)</f>
        <v>1.2424893810212652</v>
      </c>
      <c r="I260" s="6">
        <f>MIN(5,ROUNDUP(Tabelle14[[#This Row],[Wasser Normallisiert]]*2,0)/2)</f>
        <v>1.5</v>
      </c>
    </row>
    <row r="261" spans="2:9" ht="15" customHeight="1" x14ac:dyDescent="0.25">
      <c r="B261" s="10">
        <v>259</v>
      </c>
      <c r="C261" s="12" t="s">
        <v>472</v>
      </c>
      <c r="D261" s="6">
        <v>147</v>
      </c>
      <c r="E261" s="6">
        <f>((Tabelle14[[#This Row],[CO2 /100g]]^(1/3.3))*0.9)-2.26</f>
        <v>1.82324405240331</v>
      </c>
      <c r="F261" s="7">
        <f>MIN(5,ROUNDUP(Tabelle14[[#This Row],[CO2 Normallisiert]]*2,0)/2)</f>
        <v>2</v>
      </c>
      <c r="G261" s="9">
        <v>85</v>
      </c>
      <c r="H261" s="6">
        <f>MAX(0,((Tabelle14[[#This Row],[Wasser / 100g]]^(1/3.5))*0.95)-2.08)</f>
        <v>1.300540594943032</v>
      </c>
      <c r="I261" s="6">
        <f>MIN(5,ROUNDUP(Tabelle14[[#This Row],[Wasser Normallisiert]]*2,0)/2)</f>
        <v>1.5</v>
      </c>
    </row>
    <row r="262" spans="2:9" ht="15" customHeight="1" x14ac:dyDescent="0.25">
      <c r="B262" s="10">
        <v>260</v>
      </c>
      <c r="C262" s="12" t="s">
        <v>474</v>
      </c>
      <c r="D262" s="6">
        <v>458</v>
      </c>
      <c r="E262" s="6">
        <f>((Tabelle14[[#This Row],[CO2 /100g]]^(1/3.3))*0.9)-2.26</f>
        <v>3.5018955541463255</v>
      </c>
      <c r="F262" s="7">
        <f>MIN(5,ROUNDUP(Tabelle14[[#This Row],[CO2 Normallisiert]]*2,0)/2)</f>
        <v>4</v>
      </c>
      <c r="G262" s="9">
        <v>487</v>
      </c>
      <c r="H262" s="6">
        <f>MAX(0,((Tabelle14[[#This Row],[Wasser / 100g]]^(1/3.5))*0.95)-2.08)</f>
        <v>3.4865872787490026</v>
      </c>
      <c r="I262" s="6">
        <f>MIN(5,ROUNDUP(Tabelle14[[#This Row],[Wasser Normallisiert]]*2,0)/2)</f>
        <v>3.5</v>
      </c>
    </row>
    <row r="263" spans="2:9" ht="15" customHeight="1" x14ac:dyDescent="0.25">
      <c r="B263" s="10">
        <v>261</v>
      </c>
      <c r="C263" s="12" t="s">
        <v>477</v>
      </c>
      <c r="D263" s="6">
        <v>368</v>
      </c>
      <c r="E263" s="6">
        <f>((Tabelle14[[#This Row],[CO2 /100g]]^(1/3.3))*0.9)-2.26</f>
        <v>3.1322764754911834</v>
      </c>
      <c r="F263" s="7">
        <f>MIN(5,ROUNDUP(Tabelle14[[#This Row],[CO2 Normallisiert]]*2,0)/2)</f>
        <v>3.5</v>
      </c>
      <c r="G263" s="9">
        <v>451</v>
      </c>
      <c r="H263" s="6">
        <f>MAX(0,((Tabelle14[[#This Row],[Wasser / 100g]]^(1/3.5))*0.95)-2.08)</f>
        <v>3.3657758305513106</v>
      </c>
      <c r="I263" s="6">
        <f>MIN(5,ROUNDUP(Tabelle14[[#This Row],[Wasser Normallisiert]]*2,0)/2)</f>
        <v>3.5</v>
      </c>
    </row>
    <row r="264" spans="2:9" ht="15" customHeight="1" x14ac:dyDescent="0.25">
      <c r="B264" s="10">
        <v>262</v>
      </c>
      <c r="C264" s="12" t="s">
        <v>479</v>
      </c>
      <c r="D264" s="6">
        <v>95</v>
      </c>
      <c r="E264" s="6">
        <f>((Tabelle14[[#This Row],[CO2 /100g]]^(1/3.3))*0.9)-2.26</f>
        <v>1.3172780098407677</v>
      </c>
      <c r="F264" s="7">
        <f>MIN(5,ROUNDUP(Tabelle14[[#This Row],[CO2 Normallisiert]]*2,0)/2)</f>
        <v>1.5</v>
      </c>
      <c r="G264" s="9">
        <v>92</v>
      </c>
      <c r="H264" s="6">
        <f>MAX(0,((Tabelle14[[#This Row],[Wasser / 100g]]^(1/3.5))*0.95)-2.08)</f>
        <v>1.3778475463441517</v>
      </c>
      <c r="I264" s="6">
        <f>MIN(5,ROUNDUP(Tabelle14[[#This Row],[Wasser Normallisiert]]*2,0)/2)</f>
        <v>1.5</v>
      </c>
    </row>
    <row r="265" spans="2:9" ht="15" customHeight="1" x14ac:dyDescent="0.25">
      <c r="B265" s="10">
        <v>263</v>
      </c>
      <c r="C265" s="12" t="s">
        <v>358</v>
      </c>
      <c r="D265" s="6">
        <v>84</v>
      </c>
      <c r="E265" s="6">
        <f>((Tabelle14[[#This Row],[CO2 /100g]]^(1/3.3))*0.9)-2.26</f>
        <v>1.1863346347757919</v>
      </c>
      <c r="F265" s="7">
        <f>MIN(5,ROUNDUP(Tabelle14[[#This Row],[CO2 Normallisiert]]*2,0)/2)</f>
        <v>1.5</v>
      </c>
      <c r="G265" s="9">
        <v>88</v>
      </c>
      <c r="H265" s="6">
        <f>MAX(0,((Tabelle14[[#This Row],[Wasser / 100g]]^(1/3.5))*0.95)-2.08)</f>
        <v>1.3342088444926303</v>
      </c>
      <c r="I265" s="6">
        <f>MIN(5,ROUNDUP(Tabelle14[[#This Row],[Wasser Normallisiert]]*2,0)/2)</f>
        <v>1.5</v>
      </c>
    </row>
    <row r="266" spans="2:9" ht="15" customHeight="1" x14ac:dyDescent="0.25">
      <c r="B266" s="10">
        <v>264</v>
      </c>
      <c r="C266" s="12" t="s">
        <v>359</v>
      </c>
      <c r="D266" s="6">
        <v>314</v>
      </c>
      <c r="E266" s="6">
        <f>((Tabelle14[[#This Row],[CO2 /100g]]^(1/3.3))*0.9)-2.26</f>
        <v>2.8791093338616394</v>
      </c>
      <c r="F266" s="7">
        <f>MIN(5,ROUNDUP(Tabelle14[[#This Row],[CO2 Normallisiert]]*2,0)/2)</f>
        <v>3</v>
      </c>
      <c r="G266" s="9">
        <v>451</v>
      </c>
      <c r="H266" s="6">
        <f>MAX(0,((Tabelle14[[#This Row],[Wasser / 100g]]^(1/3.5))*0.95)-2.08)</f>
        <v>3.3657758305513106</v>
      </c>
      <c r="I266" s="6">
        <f>MIN(5,ROUNDUP(Tabelle14[[#This Row],[Wasser Normallisiert]]*2,0)/2)</f>
        <v>3.5</v>
      </c>
    </row>
    <row r="267" spans="2:9" ht="15" customHeight="1" x14ac:dyDescent="0.25">
      <c r="B267" s="10">
        <v>265</v>
      </c>
      <c r="C267" s="12" t="s">
        <v>361</v>
      </c>
      <c r="D267" s="6">
        <v>79</v>
      </c>
      <c r="E267" s="6">
        <f>((Tabelle14[[#This Row],[CO2 /100g]]^(1/3.3))*0.9)-2.26</f>
        <v>1.1228366096189069</v>
      </c>
      <c r="F267" s="7">
        <f>MIN(5,ROUNDUP(Tabelle14[[#This Row],[CO2 Normallisiert]]*2,0)/2)</f>
        <v>1.5</v>
      </c>
      <c r="G267" s="9">
        <v>99</v>
      </c>
      <c r="H267" s="6">
        <f>MAX(0,((Tabelle14[[#This Row],[Wasser / 100g]]^(1/3.5))*0.95)-2.08)</f>
        <v>1.4510599371819746</v>
      </c>
      <c r="I267" s="6">
        <f>MIN(5,ROUNDUP(Tabelle14[[#This Row],[Wasser Normallisiert]]*2,0)/2)</f>
        <v>1.5</v>
      </c>
    </row>
    <row r="268" spans="2:9" ht="15" customHeight="1" x14ac:dyDescent="0.25">
      <c r="B268" s="10">
        <v>266</v>
      </c>
      <c r="C268" s="12" t="s">
        <v>363</v>
      </c>
      <c r="D268" s="6">
        <v>81</v>
      </c>
      <c r="E268" s="6">
        <f>((Tabelle14[[#This Row],[CO2 /100g]]^(1/3.3))*0.9)-2.26</f>
        <v>1.1485628243914392</v>
      </c>
      <c r="F268" s="7">
        <f>MIN(5,ROUNDUP(Tabelle14[[#This Row],[CO2 Normallisiert]]*2,0)/2)</f>
        <v>1.5</v>
      </c>
      <c r="G268" s="9">
        <v>60</v>
      </c>
      <c r="H268" s="6">
        <f>MAX(0,((Tabelle14[[#This Row],[Wasser / 100g]]^(1/3.5))*0.95)-2.08)</f>
        <v>0.98031985315305681</v>
      </c>
      <c r="I268" s="6">
        <f>MIN(5,ROUNDUP(Tabelle14[[#This Row],[Wasser Normallisiert]]*2,0)/2)</f>
        <v>1</v>
      </c>
    </row>
    <row r="269" spans="2:9" ht="15" customHeight="1" x14ac:dyDescent="0.25">
      <c r="B269" s="10">
        <v>267</v>
      </c>
      <c r="C269" s="12" t="s">
        <v>364</v>
      </c>
      <c r="D269" s="6">
        <v>38</v>
      </c>
      <c r="E269" s="6">
        <f>((Tabelle14[[#This Row],[CO2 /100g]]^(1/3.3))*0.9)-2.26</f>
        <v>0.44997204847593819</v>
      </c>
      <c r="F269" s="7">
        <f>MIN(5,ROUNDUP(Tabelle14[[#This Row],[CO2 Normallisiert]]*2,0)/2)</f>
        <v>0.5</v>
      </c>
      <c r="G269" s="9">
        <v>47</v>
      </c>
      <c r="H269" s="6">
        <f>MAX(0,((Tabelle14[[#This Row],[Wasser / 100g]]^(1/3.5))*0.95)-2.08)</f>
        <v>0.77407808215564744</v>
      </c>
      <c r="I269" s="6">
        <f>MIN(5,ROUNDUP(Tabelle14[[#This Row],[Wasser Normallisiert]]*2,0)/2)</f>
        <v>1</v>
      </c>
    </row>
    <row r="270" spans="2:9" ht="15" customHeight="1" x14ac:dyDescent="0.25">
      <c r="B270" s="10">
        <v>268</v>
      </c>
      <c r="C270" s="12" t="s">
        <v>365</v>
      </c>
      <c r="D270" s="6">
        <v>33</v>
      </c>
      <c r="E270" s="6">
        <f>((Tabelle14[[#This Row],[CO2 /100g]]^(1/3.3))*0.9)-2.26</f>
        <v>0.33655932015788759</v>
      </c>
      <c r="F270" s="7">
        <f>MIN(5,ROUNDUP(Tabelle14[[#This Row],[CO2 Normallisiert]]*2,0)/2)</f>
        <v>0.5</v>
      </c>
      <c r="G270" s="9">
        <v>30</v>
      </c>
      <c r="H270" s="6">
        <f>MAX(0,((Tabelle14[[#This Row],[Wasser / 100g]]^(1/3.5))*0.95)-2.08)</f>
        <v>0.43048857623355552</v>
      </c>
      <c r="I270" s="6">
        <f>MIN(5,ROUNDUP(Tabelle14[[#This Row],[Wasser Normallisiert]]*2,0)/2)</f>
        <v>0.5</v>
      </c>
    </row>
    <row r="271" spans="2:9" ht="15" customHeight="1" x14ac:dyDescent="0.25">
      <c r="B271" s="10">
        <v>269</v>
      </c>
      <c r="C271" s="12" t="s">
        <v>367</v>
      </c>
      <c r="D271" s="6">
        <v>182</v>
      </c>
      <c r="E271" s="6">
        <f>((Tabelle14[[#This Row],[CO2 /100g]]^(1/3.3))*0.9)-2.26</f>
        <v>2.0962483105249579</v>
      </c>
      <c r="F271" s="7">
        <f>MIN(5,ROUNDUP(Tabelle14[[#This Row],[CO2 Normallisiert]]*2,0)/2)</f>
        <v>2.5</v>
      </c>
      <c r="G271" s="9">
        <v>205</v>
      </c>
      <c r="H271" s="6">
        <f>MAX(0,((Tabelle14[[#This Row],[Wasser / 100g]]^(1/3.5))*0.95)-2.08)</f>
        <v>2.2673510241862882</v>
      </c>
      <c r="I271" s="6">
        <f>MIN(5,ROUNDUP(Tabelle14[[#This Row],[Wasser Normallisiert]]*2,0)/2)</f>
        <v>2.5</v>
      </c>
    </row>
    <row r="272" spans="2:9" ht="15" customHeight="1" x14ac:dyDescent="0.25">
      <c r="B272" s="10">
        <v>270</v>
      </c>
      <c r="C272" s="12" t="s">
        <v>368</v>
      </c>
      <c r="D272" s="6">
        <v>89</v>
      </c>
      <c r="E272" s="6">
        <f>((Tabelle14[[#This Row],[CO2 /100g]]^(1/3.3))*0.9)-2.26</f>
        <v>1.2472502421342306</v>
      </c>
      <c r="F272" s="7">
        <f>MIN(5,ROUNDUP(Tabelle14[[#This Row],[CO2 Normallisiert]]*2,0)/2)</f>
        <v>1.5</v>
      </c>
      <c r="G272" s="9">
        <v>123</v>
      </c>
      <c r="H272" s="6">
        <f>MAX(0,((Tabelle14[[#This Row],[Wasser / 100g]]^(1/3.5))*0.95)-2.08)</f>
        <v>1.6769840509726475</v>
      </c>
      <c r="I272" s="6">
        <f>MIN(5,ROUNDUP(Tabelle14[[#This Row],[Wasser Normallisiert]]*2,0)/2)</f>
        <v>2</v>
      </c>
    </row>
    <row r="273" spans="2:9" ht="15" customHeight="1" x14ac:dyDescent="0.25">
      <c r="B273" s="10">
        <v>271</v>
      </c>
      <c r="C273" s="12" t="s">
        <v>370</v>
      </c>
      <c r="D273" s="6">
        <v>30</v>
      </c>
      <c r="E273" s="6">
        <f>((Tabelle14[[#This Row],[CO2 /100g]]^(1/3.3))*0.9)-2.26</f>
        <v>0.26263844951544568</v>
      </c>
      <c r="F273" s="7">
        <f>MIN(5,ROUNDUP(Tabelle14[[#This Row],[CO2 Normallisiert]]*2,0)/2)</f>
        <v>0.5</v>
      </c>
      <c r="G273" s="9">
        <v>49</v>
      </c>
      <c r="H273" s="6">
        <f>MAX(0,((Tabelle14[[#This Row],[Wasser / 100g]]^(1/3.5))*0.95)-2.08)</f>
        <v>0.80826322773726922</v>
      </c>
      <c r="I273" s="6">
        <f>MIN(5,ROUNDUP(Tabelle14[[#This Row],[Wasser Normallisiert]]*2,0)/2)</f>
        <v>1</v>
      </c>
    </row>
    <row r="274" spans="2:9" ht="15" customHeight="1" x14ac:dyDescent="0.25">
      <c r="B274" s="10">
        <v>272</v>
      </c>
      <c r="C274" s="12" t="s">
        <v>371</v>
      </c>
      <c r="D274" s="6">
        <v>63</v>
      </c>
      <c r="E274" s="6">
        <f>((Tabelle14[[#This Row],[CO2 /100g]]^(1/3.3))*0.9)-2.26</f>
        <v>0.8986188395958612</v>
      </c>
      <c r="F274" s="7">
        <f>MIN(5,ROUNDUP(Tabelle14[[#This Row],[CO2 Normallisiert]]*2,0)/2)</f>
        <v>1</v>
      </c>
      <c r="G274" s="9">
        <v>79</v>
      </c>
      <c r="H274" s="6">
        <f>MAX(0,((Tabelle14[[#This Row],[Wasser / 100g]]^(1/3.5))*0.95)-2.08)</f>
        <v>1.2305699925330109</v>
      </c>
      <c r="I274" s="6">
        <f>MIN(5,ROUNDUP(Tabelle14[[#This Row],[Wasser Normallisiert]]*2,0)/2)</f>
        <v>1.5</v>
      </c>
    </row>
    <row r="275" spans="2:9" ht="15" customHeight="1" x14ac:dyDescent="0.25">
      <c r="B275" s="10">
        <v>273</v>
      </c>
      <c r="C275" s="12" t="s">
        <v>373</v>
      </c>
      <c r="D275" s="6">
        <v>128</v>
      </c>
      <c r="E275" s="6">
        <f>((Tabelle14[[#This Row],[CO2 /100g]]^(1/3.3))*0.9)-2.26</f>
        <v>1.6555338704786884</v>
      </c>
      <c r="F275" s="7">
        <f>MIN(5,ROUNDUP(Tabelle14[[#This Row],[CO2 Normallisiert]]*2,0)/2)</f>
        <v>2</v>
      </c>
      <c r="G275" s="9">
        <v>82</v>
      </c>
      <c r="H275" s="6">
        <f>MAX(0,((Tabelle14[[#This Row],[Wasser / 100g]]^(1/3.5))*0.95)-2.08)</f>
        <v>1.2660125312060875</v>
      </c>
      <c r="I275" s="6">
        <f>MIN(5,ROUNDUP(Tabelle14[[#This Row],[Wasser Normallisiert]]*2,0)/2)</f>
        <v>1.5</v>
      </c>
    </row>
    <row r="276" spans="2:9" ht="15" customHeight="1" x14ac:dyDescent="0.25">
      <c r="B276" s="10">
        <v>274</v>
      </c>
      <c r="C276" s="12" t="s">
        <v>374</v>
      </c>
      <c r="D276" s="6">
        <v>709</v>
      </c>
      <c r="E276" s="6">
        <f>((Tabelle14[[#This Row],[CO2 /100g]]^(1/3.3))*0.9)-2.26</f>
        <v>4.31770969181939</v>
      </c>
      <c r="F276" s="7">
        <f>MIN(5,ROUNDUP(Tabelle14[[#This Row],[CO2 Normallisiert]]*2,0)/2)</f>
        <v>4.5</v>
      </c>
      <c r="G276" s="9">
        <v>788</v>
      </c>
      <c r="H276" s="6">
        <f>MAX(0,((Tabelle14[[#This Row],[Wasser / 100g]]^(1/3.5))*0.95)-2.08)</f>
        <v>4.3070824812895481</v>
      </c>
      <c r="I276" s="6">
        <f>MIN(5,ROUNDUP(Tabelle14[[#This Row],[Wasser Normallisiert]]*2,0)/2)</f>
        <v>4.5</v>
      </c>
    </row>
    <row r="277" spans="2:9" ht="15" customHeight="1" x14ac:dyDescent="0.25">
      <c r="B277" s="10">
        <v>275</v>
      </c>
      <c r="C277" s="12" t="s">
        <v>375</v>
      </c>
      <c r="D277" s="6">
        <v>246</v>
      </c>
      <c r="E277" s="6">
        <f>((Tabelle14[[#This Row],[CO2 /100g]]^(1/3.3))*0.9)-2.26</f>
        <v>2.5127457487483769</v>
      </c>
      <c r="F277" s="7">
        <f>MIN(5,ROUNDUP(Tabelle14[[#This Row],[CO2 Normallisiert]]*2,0)/2)</f>
        <v>3</v>
      </c>
      <c r="G277" s="9">
        <v>257</v>
      </c>
      <c r="H277" s="6">
        <f>MAX(0,((Tabelle14[[#This Row],[Wasser / 100g]]^(1/3.5))*0.95)-2.08)</f>
        <v>2.557414613508131</v>
      </c>
      <c r="I277" s="6">
        <f>MIN(5,ROUNDUP(Tabelle14[[#This Row],[Wasser Normallisiert]]*2,0)/2)</f>
        <v>3</v>
      </c>
    </row>
    <row r="278" spans="2:9" ht="15" customHeight="1" x14ac:dyDescent="0.25">
      <c r="B278" s="10">
        <v>276</v>
      </c>
      <c r="C278" s="12" t="s">
        <v>381</v>
      </c>
      <c r="D278" s="6">
        <v>105</v>
      </c>
      <c r="E278" s="6">
        <f>((Tabelle14[[#This Row],[CO2 /100g]]^(1/3.3))*0.9)-2.26</f>
        <v>1.4274328065280564</v>
      </c>
      <c r="F278" s="7">
        <f>MIN(5,ROUNDUP(Tabelle14[[#This Row],[CO2 Normallisiert]]*2,0)/2)</f>
        <v>1.5</v>
      </c>
      <c r="G278" s="9">
        <v>114</v>
      </c>
      <c r="H278" s="6">
        <f>MAX(0,((Tabelle14[[#This Row],[Wasser / 100g]]^(1/3.5))*0.95)-2.08)</f>
        <v>1.596297980561042</v>
      </c>
      <c r="I278" s="6">
        <f>MIN(5,ROUNDUP(Tabelle14[[#This Row],[Wasser Normallisiert]]*2,0)/2)</f>
        <v>2</v>
      </c>
    </row>
    <row r="279" spans="2:9" ht="15" customHeight="1" x14ac:dyDescent="0.25">
      <c r="B279" s="10">
        <v>277</v>
      </c>
      <c r="C279" s="12" t="s">
        <v>383</v>
      </c>
      <c r="D279" s="6">
        <v>94</v>
      </c>
      <c r="E279" s="6">
        <f>((Tabelle14[[#This Row],[CO2 /100g]]^(1/3.3))*0.9)-2.26</f>
        <v>1.3058251259666149</v>
      </c>
      <c r="F279" s="7">
        <f>MIN(5,ROUNDUP(Tabelle14[[#This Row],[CO2 Normallisiert]]*2,0)/2)</f>
        <v>1.5</v>
      </c>
      <c r="G279" s="9">
        <v>65</v>
      </c>
      <c r="H279" s="6">
        <f>MAX(0,((Tabelle14[[#This Row],[Wasser / 100g]]^(1/3.5))*0.95)-2.08)</f>
        <v>1.05111378380106</v>
      </c>
      <c r="I279" s="6">
        <f>MIN(5,ROUNDUP(Tabelle14[[#This Row],[Wasser Normallisiert]]*2,0)/2)</f>
        <v>1.5</v>
      </c>
    </row>
    <row r="280" spans="2:9" ht="15" customHeight="1" x14ac:dyDescent="0.25">
      <c r="B280" s="10">
        <v>278</v>
      </c>
      <c r="C280" s="12" t="s">
        <v>385</v>
      </c>
      <c r="D280" s="6">
        <v>282</v>
      </c>
      <c r="E280" s="6">
        <f>((Tabelle14[[#This Row],[CO2 /100g]]^(1/3.3))*0.9)-2.26</f>
        <v>2.7144175765511775</v>
      </c>
      <c r="F280" s="7">
        <f>MIN(5,ROUNDUP(Tabelle14[[#This Row],[CO2 Normallisiert]]*2,0)/2)</f>
        <v>3</v>
      </c>
      <c r="G280" s="9">
        <v>219</v>
      </c>
      <c r="H280" s="6">
        <f>MAX(0,((Tabelle14[[#This Row],[Wasser / 100g]]^(1/3.5))*0.95)-2.08)</f>
        <v>2.3501856275471962</v>
      </c>
      <c r="I280" s="6">
        <f>MIN(5,ROUNDUP(Tabelle14[[#This Row],[Wasser Normallisiert]]*2,0)/2)</f>
        <v>2.5</v>
      </c>
    </row>
    <row r="281" spans="2:9" ht="15" customHeight="1" x14ac:dyDescent="0.25">
      <c r="B281" s="10">
        <v>279</v>
      </c>
      <c r="C281" s="12" t="s">
        <v>387</v>
      </c>
      <c r="D281" s="6">
        <v>199</v>
      </c>
      <c r="E281" s="6">
        <f>((Tabelle14[[#This Row],[CO2 /100g]]^(1/3.3))*0.9)-2.26</f>
        <v>2.2157379779768966</v>
      </c>
      <c r="F281" s="7">
        <f>MIN(5,ROUNDUP(Tabelle14[[#This Row],[CO2 Normallisiert]]*2,0)/2)</f>
        <v>2.5</v>
      </c>
      <c r="G281" s="9">
        <v>242</v>
      </c>
      <c r="H281" s="6">
        <f>MAX(0,((Tabelle14[[#This Row],[Wasser / 100g]]^(1/3.5))*0.95)-2.08)</f>
        <v>2.4784134136131399</v>
      </c>
      <c r="I281" s="6">
        <f>MIN(5,ROUNDUP(Tabelle14[[#This Row],[Wasser Normallisiert]]*2,0)/2)</f>
        <v>2.5</v>
      </c>
    </row>
    <row r="282" spans="2:9" ht="15" customHeight="1" x14ac:dyDescent="0.25">
      <c r="B282" s="10">
        <v>280</v>
      </c>
      <c r="C282" s="12" t="s">
        <v>388</v>
      </c>
      <c r="D282" s="6">
        <v>522</v>
      </c>
      <c r="E282" s="6">
        <f>((Tabelle14[[#This Row],[CO2 /100g]]^(1/3.3))*0.9)-2.26</f>
        <v>3.7348597263247774</v>
      </c>
      <c r="F282" s="7">
        <f>MIN(5,ROUNDUP(Tabelle14[[#This Row],[CO2 Normallisiert]]*2,0)/2)</f>
        <v>4</v>
      </c>
      <c r="G282" s="9">
        <v>454</v>
      </c>
      <c r="H282" s="6">
        <f>MAX(0,((Tabelle14[[#This Row],[Wasser / 100g]]^(1/3.5))*0.95)-2.08)</f>
        <v>3.3761012421492964</v>
      </c>
      <c r="I282" s="6">
        <f>MIN(5,ROUNDUP(Tabelle14[[#This Row],[Wasser Normallisiert]]*2,0)/2)</f>
        <v>3.5</v>
      </c>
    </row>
    <row r="283" spans="2:9" ht="15" customHeight="1" x14ac:dyDescent="0.25">
      <c r="B283" s="10">
        <v>281</v>
      </c>
      <c r="C283" s="12" t="s">
        <v>390</v>
      </c>
      <c r="D283" s="6">
        <v>138</v>
      </c>
      <c r="E283" s="6">
        <f>((Tabelle14[[#This Row],[CO2 /100g]]^(1/3.3))*0.9)-2.26</f>
        <v>1.7458134225671733</v>
      </c>
      <c r="F283" s="7">
        <f>MIN(5,ROUNDUP(Tabelle14[[#This Row],[CO2 Normallisiert]]*2,0)/2)</f>
        <v>2</v>
      </c>
      <c r="G283" s="9">
        <v>127</v>
      </c>
      <c r="H283" s="6">
        <f>MAX(0,((Tabelle14[[#This Row],[Wasser / 100g]]^(1/3.5))*0.95)-2.08)</f>
        <v>1.7114940842313531</v>
      </c>
      <c r="I283" s="6">
        <f>MIN(5,ROUNDUP(Tabelle14[[#This Row],[Wasser Normallisiert]]*2,0)/2)</f>
        <v>2</v>
      </c>
    </row>
    <row r="284" spans="2:9" ht="15" customHeight="1" x14ac:dyDescent="0.25">
      <c r="B284" s="10">
        <v>282</v>
      </c>
      <c r="C284" s="12" t="s">
        <v>392</v>
      </c>
      <c r="D284" s="6">
        <v>232</v>
      </c>
      <c r="E284" s="6">
        <f>((Tabelle14[[#This Row],[CO2 /100g]]^(1/3.3))*0.9)-2.26</f>
        <v>2.4287497101918039</v>
      </c>
      <c r="F284" s="7">
        <f>MIN(5,ROUNDUP(Tabelle14[[#This Row],[CO2 Normallisiert]]*2,0)/2)</f>
        <v>2.5</v>
      </c>
      <c r="G284" s="9">
        <v>172</v>
      </c>
      <c r="H284" s="6">
        <f>MAX(0,((Tabelle14[[#This Row],[Wasser / 100g]]^(1/3.5))*0.95)-2.08)</f>
        <v>2.0547191801749012</v>
      </c>
      <c r="I284" s="6">
        <f>MIN(5,ROUNDUP(Tabelle14[[#This Row],[Wasser Normallisiert]]*2,0)/2)</f>
        <v>2.5</v>
      </c>
    </row>
    <row r="285" spans="2:9" ht="15" customHeight="1" x14ac:dyDescent="0.25">
      <c r="B285" s="10">
        <v>283</v>
      </c>
      <c r="C285" s="12" t="s">
        <v>393</v>
      </c>
      <c r="D285" s="6">
        <v>132</v>
      </c>
      <c r="E285" s="6">
        <f>((Tabelle14[[#This Row],[CO2 /100g]]^(1/3.3))*0.9)-2.26</f>
        <v>1.6922159854478571</v>
      </c>
      <c r="F285" s="7">
        <f>MIN(5,ROUNDUP(Tabelle14[[#This Row],[CO2 Normallisiert]]*2,0)/2)</f>
        <v>2</v>
      </c>
      <c r="G285" s="9">
        <v>128</v>
      </c>
      <c r="H285" s="6">
        <f>MAX(0,((Tabelle14[[#This Row],[Wasser / 100g]]^(1/3.5))*0.95)-2.08)</f>
        <v>1.7199999999999998</v>
      </c>
      <c r="I285" s="6">
        <f>MIN(5,ROUNDUP(Tabelle14[[#This Row],[Wasser Normallisiert]]*2,0)/2)</f>
        <v>2</v>
      </c>
    </row>
    <row r="286" spans="2:9" ht="15" customHeight="1" x14ac:dyDescent="0.25">
      <c r="B286" s="10">
        <v>284</v>
      </c>
      <c r="C286" s="12" t="s">
        <v>396</v>
      </c>
      <c r="D286" s="6">
        <v>424</v>
      </c>
      <c r="E286" s="6">
        <f>((Tabelle14[[#This Row],[CO2 /100g]]^(1/3.3))*0.9)-2.26</f>
        <v>3.36877619570076</v>
      </c>
      <c r="F286" s="7">
        <f>MIN(5,ROUNDUP(Tabelle14[[#This Row],[CO2 Normallisiert]]*2,0)/2)</f>
        <v>3.5</v>
      </c>
      <c r="G286" s="9">
        <v>435</v>
      </c>
      <c r="H286" s="6">
        <f>MAX(0,((Tabelle14[[#This Row],[Wasser / 100g]]^(1/3.5))*0.95)-2.08)</f>
        <v>3.3098624081601944</v>
      </c>
      <c r="I286" s="6">
        <f>MIN(5,ROUNDUP(Tabelle14[[#This Row],[Wasser Normallisiert]]*2,0)/2)</f>
        <v>3.5</v>
      </c>
    </row>
    <row r="287" spans="2:9" ht="15" customHeight="1" x14ac:dyDescent="0.25">
      <c r="B287" s="10">
        <v>285</v>
      </c>
      <c r="C287" s="12" t="s">
        <v>398</v>
      </c>
      <c r="D287" s="6">
        <v>87</v>
      </c>
      <c r="E287" s="6">
        <f>((Tabelle14[[#This Row],[CO2 /100g]]^(1/3.3))*0.9)-2.26</f>
        <v>1.2231775799169111</v>
      </c>
      <c r="F287" s="7">
        <f>MIN(5,ROUNDUP(Tabelle14[[#This Row],[CO2 Normallisiert]]*2,0)/2)</f>
        <v>1.5</v>
      </c>
      <c r="G287" s="9">
        <v>210</v>
      </c>
      <c r="H287" s="6">
        <f>MAX(0,((Tabelle14[[#This Row],[Wasser / 100g]]^(1/3.5))*0.95)-2.08)</f>
        <v>2.2973858766087982</v>
      </c>
      <c r="I287" s="6">
        <f>MIN(5,ROUNDUP(Tabelle14[[#This Row],[Wasser Normallisiert]]*2,0)/2)</f>
        <v>2.5</v>
      </c>
    </row>
    <row r="288" spans="2:9" ht="15" customHeight="1" x14ac:dyDescent="0.25">
      <c r="B288" s="10">
        <v>286</v>
      </c>
      <c r="C288" s="12" t="s">
        <v>400</v>
      </c>
      <c r="D288" s="6">
        <v>144</v>
      </c>
      <c r="E288" s="6">
        <f>((Tabelle14[[#This Row],[CO2 /100g]]^(1/3.3))*0.9)-2.26</f>
        <v>1.7978103867229986</v>
      </c>
      <c r="F288" s="7">
        <f>MIN(5,ROUNDUP(Tabelle14[[#This Row],[CO2 Normallisiert]]*2,0)/2)</f>
        <v>2</v>
      </c>
      <c r="G288" s="9">
        <v>90</v>
      </c>
      <c r="H288" s="6">
        <f>MAX(0,((Tabelle14[[#This Row],[Wasser / 100g]]^(1/3.5))*0.95)-2.08)</f>
        <v>1.3562013805807931</v>
      </c>
      <c r="I288" s="6">
        <f>MIN(5,ROUNDUP(Tabelle14[[#This Row],[Wasser Normallisiert]]*2,0)/2)</f>
        <v>1.5</v>
      </c>
    </row>
    <row r="289" spans="2:9" ht="15" customHeight="1" x14ac:dyDescent="0.25">
      <c r="B289" s="10">
        <v>287</v>
      </c>
      <c r="C289" s="12" t="s">
        <v>401</v>
      </c>
      <c r="D289" s="6">
        <v>618</v>
      </c>
      <c r="E289" s="6">
        <f>((Tabelle14[[#This Row],[CO2 /100g]]^(1/3.3))*0.9)-2.26</f>
        <v>4.0495239440647444</v>
      </c>
      <c r="F289" s="7">
        <f>MIN(5,ROUNDUP(Tabelle14[[#This Row],[CO2 Normallisiert]]*2,0)/2)</f>
        <v>4.5</v>
      </c>
      <c r="G289" s="9">
        <v>459</v>
      </c>
      <c r="H289" s="6">
        <f>MAX(0,((Tabelle14[[#This Row],[Wasser / 100g]]^(1/3.5))*0.95)-2.08)</f>
        <v>3.3932024846328952</v>
      </c>
      <c r="I289" s="6">
        <f>MIN(5,ROUNDUP(Tabelle14[[#This Row],[Wasser Normallisiert]]*2,0)/2)</f>
        <v>3.5</v>
      </c>
    </row>
    <row r="290" spans="2:9" ht="15" customHeight="1" x14ac:dyDescent="0.25">
      <c r="B290" s="10">
        <v>288</v>
      </c>
      <c r="C290" s="12" t="s">
        <v>402</v>
      </c>
      <c r="D290" s="6">
        <v>154</v>
      </c>
      <c r="E290" s="6">
        <f>((Tabelle14[[#This Row],[CO2 /100g]]^(1/3.3))*0.9)-2.26</f>
        <v>1.8812130733377623</v>
      </c>
      <c r="F290" s="7">
        <f>MIN(5,ROUNDUP(Tabelle14[[#This Row],[CO2 Normallisiert]]*2,0)/2)</f>
        <v>2</v>
      </c>
      <c r="G290" s="9">
        <v>167</v>
      </c>
      <c r="H290" s="6">
        <f>MAX(0,((Tabelle14[[#This Row],[Wasser / 100g]]^(1/3.5))*0.95)-2.08)</f>
        <v>2.0200150810863322</v>
      </c>
      <c r="I290" s="6">
        <f>MIN(5,ROUNDUP(Tabelle14[[#This Row],[Wasser Normallisiert]]*2,0)/2)</f>
        <v>2.5</v>
      </c>
    </row>
    <row r="291" spans="2:9" ht="15" customHeight="1" x14ac:dyDescent="0.25">
      <c r="B291" s="10">
        <v>289</v>
      </c>
      <c r="C291" s="12" t="s">
        <v>403</v>
      </c>
      <c r="D291" s="6">
        <v>65</v>
      </c>
      <c r="E291" s="6">
        <f>((Tabelle14[[#This Row],[CO2 /100g]]^(1/3.3))*0.9)-2.26</f>
        <v>0.92867453348211582</v>
      </c>
      <c r="F291" s="7">
        <f>MIN(5,ROUNDUP(Tabelle14[[#This Row],[CO2 Normallisiert]]*2,0)/2)</f>
        <v>1</v>
      </c>
      <c r="G291" s="9">
        <v>49</v>
      </c>
      <c r="H291" s="6">
        <f>MAX(0,((Tabelle14[[#This Row],[Wasser / 100g]]^(1/3.5))*0.95)-2.08)</f>
        <v>0.80826322773726922</v>
      </c>
      <c r="I291" s="6">
        <f>MIN(5,ROUNDUP(Tabelle14[[#This Row],[Wasser Normallisiert]]*2,0)/2)</f>
        <v>1</v>
      </c>
    </row>
    <row r="292" spans="2:9" ht="15" customHeight="1" x14ac:dyDescent="0.25">
      <c r="B292" s="10">
        <v>290</v>
      </c>
      <c r="C292" s="12" t="s">
        <v>405</v>
      </c>
      <c r="D292" s="6">
        <v>148</v>
      </c>
      <c r="E292" s="6">
        <f>((Tabelle14[[#This Row],[CO2 /100g]]^(1/3.3))*0.9)-2.26</f>
        <v>1.8316414987190512</v>
      </c>
      <c r="F292" s="7">
        <f>MIN(5,ROUNDUP(Tabelle14[[#This Row],[CO2 Normallisiert]]*2,0)/2)</f>
        <v>2</v>
      </c>
      <c r="G292" s="9">
        <v>255</v>
      </c>
      <c r="H292" s="6">
        <f>MAX(0,((Tabelle14[[#This Row],[Wasser / 100g]]^(1/3.5))*0.95)-2.08)</f>
        <v>2.5470747333494277</v>
      </c>
      <c r="I292" s="6">
        <f>MIN(5,ROUNDUP(Tabelle14[[#This Row],[Wasser Normallisiert]]*2,0)/2)</f>
        <v>3</v>
      </c>
    </row>
    <row r="293" spans="2:9" ht="15" customHeight="1" x14ac:dyDescent="0.25">
      <c r="B293" s="10">
        <v>291</v>
      </c>
      <c r="C293" s="12" t="s">
        <v>407</v>
      </c>
      <c r="D293" s="6">
        <v>609</v>
      </c>
      <c r="E293" s="6">
        <f>((Tabelle14[[#This Row],[CO2 /100g]]^(1/3.3))*0.9)-2.26</f>
        <v>4.0215371333176186</v>
      </c>
      <c r="F293" s="7">
        <f>MIN(5,ROUNDUP(Tabelle14[[#This Row],[CO2 Normallisiert]]*2,0)/2)</f>
        <v>4.5</v>
      </c>
      <c r="G293" s="9">
        <v>447</v>
      </c>
      <c r="H293" s="6">
        <f>MAX(0,((Tabelle14[[#This Row],[Wasser / 100g]]^(1/3.5))*0.95)-2.08)</f>
        <v>3.3519320202797225</v>
      </c>
      <c r="I293" s="6">
        <f>MIN(5,ROUNDUP(Tabelle14[[#This Row],[Wasser Normallisiert]]*2,0)/2)</f>
        <v>3.5</v>
      </c>
    </row>
    <row r="294" spans="2:9" ht="15" customHeight="1" x14ac:dyDescent="0.25">
      <c r="B294" s="10">
        <v>292</v>
      </c>
      <c r="C294" s="12" t="s">
        <v>409</v>
      </c>
      <c r="D294" s="6">
        <v>395</v>
      </c>
      <c r="E294" s="6">
        <f>((Tabelle14[[#This Row],[CO2 /100g]]^(1/3.3))*0.9)-2.26</f>
        <v>3.2492199841231244</v>
      </c>
      <c r="F294" s="7">
        <f>MIN(5,ROUNDUP(Tabelle14[[#This Row],[CO2 Normallisiert]]*2,0)/2)</f>
        <v>3.5</v>
      </c>
      <c r="G294" s="9">
        <v>511</v>
      </c>
      <c r="H294" s="6">
        <f>MAX(0,((Tabelle14[[#This Row],[Wasser / 100g]]^(1/3.5))*0.95)-2.08)</f>
        <v>3.5636249942669549</v>
      </c>
      <c r="I294" s="6">
        <f>MIN(5,ROUNDUP(Tabelle14[[#This Row],[Wasser Normallisiert]]*2,0)/2)</f>
        <v>4</v>
      </c>
    </row>
    <row r="295" spans="2:9" ht="15" customHeight="1" x14ac:dyDescent="0.25">
      <c r="B295" s="10">
        <v>293</v>
      </c>
      <c r="C295" s="12" t="s">
        <v>411</v>
      </c>
      <c r="D295" s="6">
        <v>212</v>
      </c>
      <c r="E295" s="6">
        <f>((Tabelle14[[#This Row],[CO2 /100g]]^(1/3.3))*0.9)-2.26</f>
        <v>2.3023938202507397</v>
      </c>
      <c r="F295" s="7">
        <f>MIN(5,ROUNDUP(Tabelle14[[#This Row],[CO2 Normallisiert]]*2,0)/2)</f>
        <v>2.5</v>
      </c>
      <c r="G295" s="9">
        <v>208</v>
      </c>
      <c r="H295" s="6">
        <f>MAX(0,((Tabelle14[[#This Row],[Wasser / 100g]]^(1/3.5))*0.95)-2.08)</f>
        <v>2.2854338861311261</v>
      </c>
      <c r="I295" s="6">
        <f>MIN(5,ROUNDUP(Tabelle14[[#This Row],[Wasser Normallisiert]]*2,0)/2)</f>
        <v>2.5</v>
      </c>
    </row>
    <row r="296" spans="2:9" ht="15" customHeight="1" x14ac:dyDescent="0.25">
      <c r="B296" s="10">
        <v>294</v>
      </c>
      <c r="C296" s="12" t="s">
        <v>412</v>
      </c>
      <c r="D296" s="6">
        <v>361</v>
      </c>
      <c r="E296" s="6">
        <f>((Tabelle14[[#This Row],[CO2 /100g]]^(1/3.3))*0.9)-2.26</f>
        <v>3.1009862314624783</v>
      </c>
      <c r="F296" s="7">
        <f>MIN(5,ROUNDUP(Tabelle14[[#This Row],[CO2 Normallisiert]]*2,0)/2)</f>
        <v>3.5</v>
      </c>
      <c r="G296" s="9">
        <v>111</v>
      </c>
      <c r="H296" s="6">
        <f>MAX(0,((Tabelle14[[#This Row],[Wasser / 100g]]^(1/3.5))*0.95)-2.08)</f>
        <v>1.5683928776237952</v>
      </c>
      <c r="I296" s="6">
        <f>MIN(5,ROUNDUP(Tabelle14[[#This Row],[Wasser Normallisiert]]*2,0)/2)</f>
        <v>2</v>
      </c>
    </row>
    <row r="297" spans="2:9" ht="15" customHeight="1" x14ac:dyDescent="0.25">
      <c r="B297" s="10">
        <v>295</v>
      </c>
      <c r="C297" s="12" t="s">
        <v>415</v>
      </c>
      <c r="D297" s="6">
        <v>56</v>
      </c>
      <c r="E297" s="6">
        <f>((Tabelle14[[#This Row],[CO2 /100g]]^(1/3.3))*0.9)-2.26</f>
        <v>0.78787012494133934</v>
      </c>
      <c r="F297" s="7">
        <f>MIN(5,ROUNDUP(Tabelle14[[#This Row],[CO2 Normallisiert]]*2,0)/2)</f>
        <v>1</v>
      </c>
      <c r="G297" s="9">
        <v>110</v>
      </c>
      <c r="H297" s="6">
        <f>MAX(0,((Tabelle14[[#This Row],[Wasser / 100g]]^(1/3.5))*0.95)-2.08)</f>
        <v>1.558971532974283</v>
      </c>
      <c r="I297" s="6">
        <f>MIN(5,ROUNDUP(Tabelle14[[#This Row],[Wasser Normallisiert]]*2,0)/2)</f>
        <v>2</v>
      </c>
    </row>
    <row r="298" spans="2:9" ht="15" customHeight="1" x14ac:dyDescent="0.25">
      <c r="B298" s="10">
        <v>296</v>
      </c>
      <c r="C298" s="12" t="s">
        <v>416</v>
      </c>
      <c r="D298" s="6">
        <v>212</v>
      </c>
      <c r="E298" s="6">
        <f>((Tabelle14[[#This Row],[CO2 /100g]]^(1/3.3))*0.9)-2.26</f>
        <v>2.3023938202507397</v>
      </c>
      <c r="F298" s="7">
        <f>MIN(5,ROUNDUP(Tabelle14[[#This Row],[CO2 Normallisiert]]*2,0)/2)</f>
        <v>2.5</v>
      </c>
      <c r="G298" s="9">
        <v>277</v>
      </c>
      <c r="H298" s="6">
        <f>MAX(0,((Tabelle14[[#This Row],[Wasser / 100g]]^(1/3.5))*0.95)-2.08)</f>
        <v>2.6577808465134014</v>
      </c>
      <c r="I298" s="6">
        <f>MIN(5,ROUNDUP(Tabelle14[[#This Row],[Wasser Normallisiert]]*2,0)/2)</f>
        <v>3</v>
      </c>
    </row>
    <row r="299" spans="2:9" ht="15" customHeight="1" x14ac:dyDescent="0.25">
      <c r="B299" s="10">
        <v>297</v>
      </c>
      <c r="C299" s="12" t="s">
        <v>418</v>
      </c>
      <c r="D299" s="6">
        <v>333</v>
      </c>
      <c r="E299" s="6">
        <f>((Tabelle14[[#This Row],[CO2 /100g]]^(1/3.3))*0.9)-2.26</f>
        <v>2.971419536409118</v>
      </c>
      <c r="F299" s="7">
        <f>MIN(5,ROUNDUP(Tabelle14[[#This Row],[CO2 Normallisiert]]*2,0)/2)</f>
        <v>3</v>
      </c>
      <c r="G299" s="9">
        <v>314</v>
      </c>
      <c r="H299" s="6">
        <f>MAX(0,((Tabelle14[[#This Row],[Wasser / 100g]]^(1/3.5))*0.95)-2.08)</f>
        <v>2.8305719209680422</v>
      </c>
      <c r="I299" s="6">
        <f>MIN(5,ROUNDUP(Tabelle14[[#This Row],[Wasser Normallisiert]]*2,0)/2)</f>
        <v>3</v>
      </c>
    </row>
    <row r="300" spans="2:9" ht="15" customHeight="1" x14ac:dyDescent="0.25">
      <c r="B300" s="10">
        <v>298</v>
      </c>
      <c r="C300" s="12" t="s">
        <v>420</v>
      </c>
      <c r="D300" s="6">
        <v>42</v>
      </c>
      <c r="E300" s="6">
        <f>((Tabelle14[[#This Row],[CO2 /100g]]^(1/3.3))*0.9)-2.26</f>
        <v>0.533419971507616</v>
      </c>
      <c r="F300" s="7">
        <f>MIN(5,ROUNDUP(Tabelle14[[#This Row],[CO2 Normallisiert]]*2,0)/2)</f>
        <v>1</v>
      </c>
      <c r="G300" s="9">
        <v>34</v>
      </c>
      <c r="H300" s="6">
        <f>MAX(0,((Tabelle14[[#This Row],[Wasser / 100g]]^(1/3.5))*0.95)-2.08)</f>
        <v>0.52189046847153486</v>
      </c>
      <c r="I300" s="6">
        <f>MIN(5,ROUNDUP(Tabelle14[[#This Row],[Wasser Normallisiert]]*2,0)/2)</f>
        <v>1</v>
      </c>
    </row>
    <row r="301" spans="2:9" ht="15" customHeight="1" x14ac:dyDescent="0.25">
      <c r="B301" s="10">
        <v>299</v>
      </c>
      <c r="C301" s="12" t="s">
        <v>422</v>
      </c>
      <c r="D301" s="6">
        <v>88</v>
      </c>
      <c r="E301" s="6">
        <f>((Tabelle14[[#This Row],[CO2 /100g]]^(1/3.3))*0.9)-2.26</f>
        <v>1.2352615766941573</v>
      </c>
      <c r="F301" s="7">
        <f>MIN(5,ROUNDUP(Tabelle14[[#This Row],[CO2 Normallisiert]]*2,0)/2)</f>
        <v>1.5</v>
      </c>
      <c r="G301" s="9">
        <v>68</v>
      </c>
      <c r="H301" s="6">
        <f>MAX(0,((Tabelle14[[#This Row],[Wasser / 100g]]^(1/3.5))*0.95)-2.08)</f>
        <v>1.0917400078112802</v>
      </c>
      <c r="I301" s="6">
        <f>MIN(5,ROUNDUP(Tabelle14[[#This Row],[Wasser Normallisiert]]*2,0)/2)</f>
        <v>1.5</v>
      </c>
    </row>
    <row r="302" spans="2:9" ht="15" customHeight="1" x14ac:dyDescent="0.25">
      <c r="B302" s="10">
        <v>300</v>
      </c>
      <c r="C302" s="12" t="s">
        <v>424</v>
      </c>
      <c r="D302" s="6">
        <v>141</v>
      </c>
      <c r="E302" s="6">
        <f>((Tabelle14[[#This Row],[CO2 /100g]]^(1/3.3))*0.9)-2.26</f>
        <v>1.7720046883260885</v>
      </c>
      <c r="F302" s="7">
        <f>MIN(5,ROUNDUP(Tabelle14[[#This Row],[CO2 Normallisiert]]*2,0)/2)</f>
        <v>2</v>
      </c>
      <c r="G302" s="9">
        <v>172</v>
      </c>
      <c r="H302" s="6">
        <f>MAX(0,((Tabelle14[[#This Row],[Wasser / 100g]]^(1/3.5))*0.95)-2.08)</f>
        <v>2.0547191801749012</v>
      </c>
      <c r="I302" s="6">
        <f>MIN(5,ROUNDUP(Tabelle14[[#This Row],[Wasser Normallisiert]]*2,0)/2)</f>
        <v>2.5</v>
      </c>
    </row>
    <row r="303" spans="2:9" ht="15" customHeight="1" x14ac:dyDescent="0.25">
      <c r="B303" s="10">
        <v>301</v>
      </c>
      <c r="C303" s="12" t="s">
        <v>425</v>
      </c>
      <c r="D303" s="6">
        <v>315</v>
      </c>
      <c r="E303" s="6">
        <f>((Tabelle14[[#This Row],[CO2 /100g]]^(1/3.3))*0.9)-2.26</f>
        <v>2.8840634122999154</v>
      </c>
      <c r="F303" s="7">
        <f>MIN(5,ROUNDUP(Tabelle14[[#This Row],[CO2 Normallisiert]]*2,0)/2)</f>
        <v>3</v>
      </c>
      <c r="G303" s="9">
        <v>296</v>
      </c>
      <c r="H303" s="6">
        <f>MAX(0,((Tabelle14[[#This Row],[Wasser / 100g]]^(1/3.5))*0.95)-2.08)</f>
        <v>2.7484412478326172</v>
      </c>
      <c r="I303" s="6">
        <f>MIN(5,ROUNDUP(Tabelle14[[#This Row],[Wasser Normallisiert]]*2,0)/2)</f>
        <v>3</v>
      </c>
    </row>
    <row r="304" spans="2:9" ht="15" customHeight="1" x14ac:dyDescent="0.25">
      <c r="B304" s="10">
        <v>302</v>
      </c>
      <c r="C304" s="12" t="s">
        <v>426</v>
      </c>
      <c r="D304" s="6">
        <v>249</v>
      </c>
      <c r="E304" s="6">
        <f>((Tabelle14[[#This Row],[CO2 /100g]]^(1/3.3))*0.9)-2.26</f>
        <v>2.5303089462361728</v>
      </c>
      <c r="F304" s="7">
        <f>MIN(5,ROUNDUP(Tabelle14[[#This Row],[CO2 Normallisiert]]*2,0)/2)</f>
        <v>3</v>
      </c>
      <c r="G304" s="9">
        <v>219</v>
      </c>
      <c r="H304" s="6">
        <f>MAX(0,((Tabelle14[[#This Row],[Wasser / 100g]]^(1/3.5))*0.95)-2.08)</f>
        <v>2.3501856275471962</v>
      </c>
      <c r="I304" s="6">
        <f>MIN(5,ROUNDUP(Tabelle14[[#This Row],[Wasser Normallisiert]]*2,0)/2)</f>
        <v>2.5</v>
      </c>
    </row>
    <row r="305" spans="2:9" ht="15" customHeight="1" x14ac:dyDescent="0.25">
      <c r="B305" s="10">
        <v>303</v>
      </c>
      <c r="C305" s="12" t="s">
        <v>428</v>
      </c>
      <c r="D305" s="6">
        <v>348</v>
      </c>
      <c r="E305" s="6">
        <f>((Tabelle14[[#This Row],[CO2 /100g]]^(1/3.3))*0.9)-2.26</f>
        <v>3.041735263519465</v>
      </c>
      <c r="F305" s="7">
        <f>MIN(5,ROUNDUP(Tabelle14[[#This Row],[CO2 Normallisiert]]*2,0)/2)</f>
        <v>3.5</v>
      </c>
      <c r="G305" s="9">
        <v>147</v>
      </c>
      <c r="H305" s="6">
        <f>MAX(0,((Tabelle14[[#This Row],[Wasser / 100g]]^(1/3.5))*0.95)-2.08)</f>
        <v>1.8732759418174041</v>
      </c>
      <c r="I305" s="6">
        <f>MIN(5,ROUNDUP(Tabelle14[[#This Row],[Wasser Normallisiert]]*2,0)/2)</f>
        <v>2</v>
      </c>
    </row>
    <row r="306" spans="2:9" ht="15" customHeight="1" x14ac:dyDescent="0.25">
      <c r="B306" s="10">
        <v>304</v>
      </c>
      <c r="C306" s="12" t="s">
        <v>429</v>
      </c>
      <c r="D306" s="6">
        <v>219</v>
      </c>
      <c r="E306" s="6">
        <f>((Tabelle14[[#This Row],[CO2 /100g]]^(1/3.3))*0.9)-2.26</f>
        <v>2.3475281662803464</v>
      </c>
      <c r="F306" s="7">
        <f>MIN(5,ROUNDUP(Tabelle14[[#This Row],[CO2 Normallisiert]]*2,0)/2)</f>
        <v>2.5</v>
      </c>
      <c r="G306" s="9">
        <v>283</v>
      </c>
      <c r="H306" s="6">
        <f>MAX(0,((Tabelle14[[#This Row],[Wasser / 100g]]^(1/3.5))*0.95)-2.08)</f>
        <v>2.6868777627583329</v>
      </c>
      <c r="I306" s="6">
        <f>MIN(5,ROUNDUP(Tabelle14[[#This Row],[Wasser Normallisiert]]*2,0)/2)</f>
        <v>3</v>
      </c>
    </row>
    <row r="307" spans="2:9" ht="15" customHeight="1" x14ac:dyDescent="0.25">
      <c r="B307" s="10">
        <v>305</v>
      </c>
      <c r="C307" s="12" t="s">
        <v>431</v>
      </c>
      <c r="D307" s="6">
        <v>71</v>
      </c>
      <c r="E307" s="6">
        <f>((Tabelle14[[#This Row],[CO2 /100g]]^(1/3.3))*0.9)-2.26</f>
        <v>1.0151401406280751</v>
      </c>
      <c r="F307" s="7">
        <f>MIN(5,ROUNDUP(Tabelle14[[#This Row],[CO2 Normallisiert]]*2,0)/2)</f>
        <v>1.5</v>
      </c>
      <c r="G307" s="9">
        <v>145</v>
      </c>
      <c r="H307" s="6">
        <f>MAX(0,((Tabelle14[[#This Row],[Wasser / 100g]]^(1/3.5))*0.95)-2.08)</f>
        <v>1.8578332363249848</v>
      </c>
      <c r="I307" s="6">
        <f>MIN(5,ROUNDUP(Tabelle14[[#This Row],[Wasser Normallisiert]]*2,0)/2)</f>
        <v>2</v>
      </c>
    </row>
    <row r="308" spans="2:9" ht="15" customHeight="1" x14ac:dyDescent="0.25">
      <c r="B308" s="10">
        <v>306</v>
      </c>
      <c r="C308" s="12" t="s">
        <v>433</v>
      </c>
      <c r="D308" s="6">
        <v>502</v>
      </c>
      <c r="E308" s="6">
        <f>((Tabelle14[[#This Row],[CO2 /100g]]^(1/3.3))*0.9)-2.26</f>
        <v>3.6643072658909004</v>
      </c>
      <c r="F308" s="7">
        <f>MIN(5,ROUNDUP(Tabelle14[[#This Row],[CO2 Normallisiert]]*2,0)/2)</f>
        <v>4</v>
      </c>
      <c r="G308" s="9">
        <v>574</v>
      </c>
      <c r="H308" s="6">
        <f>MAX(0,((Tabelle14[[#This Row],[Wasser / 100g]]^(1/3.5))*0.95)-2.08)</f>
        <v>3.7542380585662416</v>
      </c>
      <c r="I308" s="6">
        <f>MIN(5,ROUNDUP(Tabelle14[[#This Row],[Wasser Normallisiert]]*2,0)/2)</f>
        <v>4</v>
      </c>
    </row>
    <row r="309" spans="2:9" ht="15" customHeight="1" x14ac:dyDescent="0.25">
      <c r="B309" s="10">
        <v>307</v>
      </c>
      <c r="C309" s="12" t="s">
        <v>434</v>
      </c>
      <c r="D309" s="6">
        <v>274</v>
      </c>
      <c r="E309" s="6">
        <f>((Tabelle14[[#This Row],[CO2 /100g]]^(1/3.3))*0.9)-2.26</f>
        <v>2.6712248001776802</v>
      </c>
      <c r="F309" s="7">
        <f>MIN(5,ROUNDUP(Tabelle14[[#This Row],[CO2 Normallisiert]]*2,0)/2)</f>
        <v>3</v>
      </c>
      <c r="G309" s="9">
        <v>274</v>
      </c>
      <c r="H309" s="6">
        <f>MAX(0,((Tabelle14[[#This Row],[Wasser / 100g]]^(1/3.5))*0.95)-2.08)</f>
        <v>2.6430632991938614</v>
      </c>
      <c r="I309" s="6">
        <f>MIN(5,ROUNDUP(Tabelle14[[#This Row],[Wasser Normallisiert]]*2,0)/2)</f>
        <v>3</v>
      </c>
    </row>
    <row r="310" spans="2:9" ht="15" customHeight="1" x14ac:dyDescent="0.25">
      <c r="B310" s="10">
        <v>308</v>
      </c>
      <c r="C310" s="12" t="s">
        <v>436</v>
      </c>
      <c r="D310" s="6">
        <v>183</v>
      </c>
      <c r="E310" s="6">
        <f>((Tabelle14[[#This Row],[CO2 /100g]]^(1/3.3))*0.9)-2.26</f>
        <v>2.1034876262165207</v>
      </c>
      <c r="F310" s="7">
        <f>MIN(5,ROUNDUP(Tabelle14[[#This Row],[CO2 Normallisiert]]*2,0)/2)</f>
        <v>2.5</v>
      </c>
      <c r="G310" s="9">
        <v>171</v>
      </c>
      <c r="H310" s="6">
        <f>MAX(0,((Tabelle14[[#This Row],[Wasser / 100g]]^(1/3.5))*0.95)-2.08)</f>
        <v>2.0478365668918332</v>
      </c>
      <c r="I310" s="6">
        <f>MIN(5,ROUNDUP(Tabelle14[[#This Row],[Wasser Normallisiert]]*2,0)/2)</f>
        <v>2.5</v>
      </c>
    </row>
    <row r="311" spans="2:9" ht="15" customHeight="1" x14ac:dyDescent="0.25">
      <c r="B311" s="10">
        <v>309</v>
      </c>
      <c r="C311" s="12" t="s">
        <v>437</v>
      </c>
      <c r="D311" s="6">
        <v>194</v>
      </c>
      <c r="E311" s="6">
        <f>((Tabelle14[[#This Row],[CO2 /100g]]^(1/3.3))*0.9)-2.26</f>
        <v>2.1813577915589297</v>
      </c>
      <c r="F311" s="7">
        <f>MIN(5,ROUNDUP(Tabelle14[[#This Row],[CO2 Normallisiert]]*2,0)/2)</f>
        <v>2.5</v>
      </c>
      <c r="G311" s="9">
        <v>128</v>
      </c>
      <c r="H311" s="6">
        <f>MAX(0,((Tabelle14[[#This Row],[Wasser / 100g]]^(1/3.5))*0.95)-2.08)</f>
        <v>1.7199999999999998</v>
      </c>
      <c r="I311" s="6">
        <f>MIN(5,ROUNDUP(Tabelle14[[#This Row],[Wasser Normallisiert]]*2,0)/2)</f>
        <v>2</v>
      </c>
    </row>
    <row r="312" spans="2:9" ht="15" customHeight="1" x14ac:dyDescent="0.25">
      <c r="B312" s="10">
        <v>310</v>
      </c>
      <c r="C312" s="12" t="s">
        <v>438</v>
      </c>
      <c r="D312" s="6">
        <v>145</v>
      </c>
      <c r="E312" s="6">
        <f>((Tabelle14[[#This Row],[CO2 /100g]]^(1/3.3))*0.9)-2.26</f>
        <v>1.806328965729838</v>
      </c>
      <c r="F312" s="7">
        <f>MIN(5,ROUNDUP(Tabelle14[[#This Row],[CO2 Normallisiert]]*2,0)/2)</f>
        <v>2</v>
      </c>
      <c r="G312" s="9">
        <v>126</v>
      </c>
      <c r="H312" s="6">
        <f>MAX(0,((Tabelle14[[#This Row],[Wasser / 100g]]^(1/3.5))*0.95)-2.08)</f>
        <v>1.7029401932065982</v>
      </c>
      <c r="I312" s="6">
        <f>MIN(5,ROUNDUP(Tabelle14[[#This Row],[Wasser Normallisiert]]*2,0)/2)</f>
        <v>2</v>
      </c>
    </row>
    <row r="313" spans="2:9" ht="15" customHeight="1" x14ac:dyDescent="0.25">
      <c r="B313" s="10">
        <v>311</v>
      </c>
      <c r="C313" s="12" t="s">
        <v>439</v>
      </c>
      <c r="D313" s="6">
        <v>148</v>
      </c>
      <c r="E313" s="6">
        <f>((Tabelle14[[#This Row],[CO2 /100g]]^(1/3.3))*0.9)-2.26</f>
        <v>1.8316414987190512</v>
      </c>
      <c r="F313" s="7">
        <f>MIN(5,ROUNDUP(Tabelle14[[#This Row],[CO2 Normallisiert]]*2,0)/2)</f>
        <v>2</v>
      </c>
      <c r="G313" s="9">
        <v>232</v>
      </c>
      <c r="H313" s="6">
        <f>MAX(0,((Tabelle14[[#This Row],[Wasser / 100g]]^(1/3.5))*0.95)-2.08)</f>
        <v>2.4237815270414442</v>
      </c>
      <c r="I313" s="6">
        <f>MIN(5,ROUNDUP(Tabelle14[[#This Row],[Wasser Normallisiert]]*2,0)/2)</f>
        <v>2.5</v>
      </c>
    </row>
    <row r="314" spans="2:9" ht="15" customHeight="1" x14ac:dyDescent="0.25">
      <c r="B314" s="10">
        <v>312</v>
      </c>
      <c r="C314" s="12" t="s">
        <v>441</v>
      </c>
      <c r="D314" s="6">
        <v>179</v>
      </c>
      <c r="E314" s="6">
        <f>((Tabelle14[[#This Row],[CO2 /100g]]^(1/3.3))*0.9)-2.26</f>
        <v>2.0743626578853283</v>
      </c>
      <c r="F314" s="7">
        <f>MIN(5,ROUNDUP(Tabelle14[[#This Row],[CO2 Normallisiert]]*2,0)/2)</f>
        <v>2.5</v>
      </c>
      <c r="G314" s="9">
        <v>155</v>
      </c>
      <c r="H314" s="6">
        <f>MAX(0,((Tabelle14[[#This Row],[Wasser / 100g]]^(1/3.5))*0.95)-2.08)</f>
        <v>1.9335868203972115</v>
      </c>
      <c r="I314" s="6">
        <f>MIN(5,ROUNDUP(Tabelle14[[#This Row],[Wasser Normallisiert]]*2,0)/2)</f>
        <v>2</v>
      </c>
    </row>
    <row r="315" spans="2:9" ht="15" customHeight="1" x14ac:dyDescent="0.25">
      <c r="B315" s="10">
        <v>313</v>
      </c>
      <c r="C315" s="12" t="s">
        <v>443</v>
      </c>
      <c r="D315" s="6">
        <v>789</v>
      </c>
      <c r="E315" s="6">
        <f>((Tabelle14[[#This Row],[CO2 /100g]]^(1/3.3))*0.9)-2.26</f>
        <v>4.5342986317650125</v>
      </c>
      <c r="F315" s="7">
        <f>MIN(5,ROUNDUP(Tabelle14[[#This Row],[CO2 Normallisiert]]*2,0)/2)</f>
        <v>5</v>
      </c>
      <c r="G315" s="9">
        <v>682</v>
      </c>
      <c r="H315" s="6">
        <f>MAX(0,((Tabelle14[[#This Row],[Wasser / 100g]]^(1/3.5))*0.95)-2.08)</f>
        <v>4.0488117755643387</v>
      </c>
      <c r="I315" s="6">
        <f>MIN(5,ROUNDUP(Tabelle14[[#This Row],[Wasser Normallisiert]]*2,0)/2)</f>
        <v>4.5</v>
      </c>
    </row>
    <row r="316" spans="2:9" ht="15" customHeight="1" x14ac:dyDescent="0.25">
      <c r="B316" s="10">
        <v>314</v>
      </c>
      <c r="C316" s="12" t="s">
        <v>444</v>
      </c>
      <c r="D316" s="6">
        <v>94</v>
      </c>
      <c r="E316" s="6">
        <f>((Tabelle14[[#This Row],[CO2 /100g]]^(1/3.3))*0.9)-2.26</f>
        <v>1.3058251259666149</v>
      </c>
      <c r="F316" s="7">
        <f>MIN(5,ROUNDUP(Tabelle14[[#This Row],[CO2 Normallisiert]]*2,0)/2)</f>
        <v>1.5</v>
      </c>
      <c r="G316" s="9">
        <v>83</v>
      </c>
      <c r="H316" s="6">
        <f>MAX(0,((Tabelle14[[#This Row],[Wasser / 100g]]^(1/3.5))*0.95)-2.08)</f>
        <v>1.2776206846158975</v>
      </c>
      <c r="I316" s="6">
        <f>MIN(5,ROUNDUP(Tabelle14[[#This Row],[Wasser Normallisiert]]*2,0)/2)</f>
        <v>1.5</v>
      </c>
    </row>
    <row r="317" spans="2:9" ht="15" customHeight="1" x14ac:dyDescent="0.25">
      <c r="B317" s="10">
        <v>315</v>
      </c>
      <c r="C317" s="12" t="s">
        <v>445</v>
      </c>
      <c r="D317" s="6">
        <v>146</v>
      </c>
      <c r="E317" s="6">
        <f>((Tabelle14[[#This Row],[CO2 /100g]]^(1/3.3))*0.9)-2.26</f>
        <v>1.8148066964034726</v>
      </c>
      <c r="F317" s="7">
        <f>MIN(5,ROUNDUP(Tabelle14[[#This Row],[CO2 Normallisiert]]*2,0)/2)</f>
        <v>2</v>
      </c>
      <c r="G317" s="9">
        <v>243</v>
      </c>
      <c r="H317" s="6">
        <f>MAX(0,((Tabelle14[[#This Row],[Wasser / 100g]]^(1/3.5))*0.95)-2.08)</f>
        <v>2.4837873238394366</v>
      </c>
      <c r="I317" s="6">
        <f>MIN(5,ROUNDUP(Tabelle14[[#This Row],[Wasser Normallisiert]]*2,0)/2)</f>
        <v>2.5</v>
      </c>
    </row>
    <row r="318" spans="2:9" ht="15" customHeight="1" x14ac:dyDescent="0.25">
      <c r="B318" s="10">
        <v>316</v>
      </c>
      <c r="C318" s="12" t="s">
        <v>447</v>
      </c>
      <c r="D318" s="6">
        <v>388</v>
      </c>
      <c r="E318" s="6">
        <f>((Tabelle14[[#This Row],[CO2 /100g]]^(1/3.3))*0.9)-2.26</f>
        <v>3.2194500428161401</v>
      </c>
      <c r="F318" s="7">
        <f>MIN(5,ROUNDUP(Tabelle14[[#This Row],[CO2 Normallisiert]]*2,0)/2)</f>
        <v>3.5</v>
      </c>
      <c r="G318" s="9">
        <v>415</v>
      </c>
      <c r="H318" s="6">
        <f>MAX(0,((Tabelle14[[#This Row],[Wasser / 100g]]^(1/3.5))*0.95)-2.08)</f>
        <v>3.2378654790949213</v>
      </c>
      <c r="I318" s="6">
        <f>MIN(5,ROUNDUP(Tabelle14[[#This Row],[Wasser Normallisiert]]*2,0)/2)</f>
        <v>3.5</v>
      </c>
    </row>
    <row r="319" spans="2:9" ht="15" customHeight="1" x14ac:dyDescent="0.25">
      <c r="B319" s="10">
        <v>317</v>
      </c>
      <c r="C319" s="12" t="s">
        <v>449</v>
      </c>
      <c r="D319" s="6">
        <v>119</v>
      </c>
      <c r="E319" s="6">
        <f>((Tabelle14[[#This Row],[CO2 /100g]]^(1/3.3))*0.9)-2.26</f>
        <v>1.5699767193638454</v>
      </c>
      <c r="F319" s="7">
        <f>MIN(5,ROUNDUP(Tabelle14[[#This Row],[CO2 Normallisiert]]*2,0)/2)</f>
        <v>2</v>
      </c>
      <c r="G319" s="9">
        <v>86</v>
      </c>
      <c r="H319" s="6">
        <f>MAX(0,((Tabelle14[[#This Row],[Wasser / 100g]]^(1/3.5))*0.95)-2.08)</f>
        <v>1.3118563306603859</v>
      </c>
      <c r="I319" s="6">
        <f>MIN(5,ROUNDUP(Tabelle14[[#This Row],[Wasser Normallisiert]]*2,0)/2)</f>
        <v>1.5</v>
      </c>
    </row>
    <row r="320" spans="2:9" ht="15" customHeight="1" x14ac:dyDescent="0.25">
      <c r="B320" s="10">
        <v>318</v>
      </c>
      <c r="C320" s="12" t="s">
        <v>451</v>
      </c>
      <c r="D320" s="6">
        <v>43</v>
      </c>
      <c r="E320" s="6">
        <f>((Tabelle14[[#This Row],[CO2 /100g]]^(1/3.3))*0.9)-2.26</f>
        <v>0.55340950597965621</v>
      </c>
      <c r="F320" s="7">
        <f>MIN(5,ROUNDUP(Tabelle14[[#This Row],[CO2 Normallisiert]]*2,0)/2)</f>
        <v>1</v>
      </c>
      <c r="G320" s="9">
        <v>56</v>
      </c>
      <c r="H320" s="6">
        <f>MAX(0,((Tabelle14[[#This Row],[Wasser / 100g]]^(1/3.5))*0.95)-2.08)</f>
        <v>0.92058475701729892</v>
      </c>
      <c r="I320" s="6">
        <f>MIN(5,ROUNDUP(Tabelle14[[#This Row],[Wasser Normallisiert]]*2,0)/2)</f>
        <v>1</v>
      </c>
    </row>
    <row r="321" spans="2:9" ht="15" customHeight="1" x14ac:dyDescent="0.25">
      <c r="B321" s="10">
        <v>319</v>
      </c>
      <c r="C321" s="12" t="s">
        <v>453</v>
      </c>
      <c r="D321" s="6">
        <v>168</v>
      </c>
      <c r="E321" s="6">
        <f>((Tabelle14[[#This Row],[CO2 /100g]]^(1/3.3))*0.9)-2.26</f>
        <v>1.991857055509282</v>
      </c>
      <c r="F321" s="7">
        <f>MIN(5,ROUNDUP(Tabelle14[[#This Row],[CO2 Normallisiert]]*2,0)/2)</f>
        <v>2</v>
      </c>
      <c r="G321" s="9">
        <v>178</v>
      </c>
      <c r="H321" s="6">
        <f>MAX(0,((Tabelle14[[#This Row],[Wasser / 100g]]^(1/3.5))*0.95)-2.08)</f>
        <v>2.0954255924138758</v>
      </c>
      <c r="I321" s="6">
        <f>MIN(5,ROUNDUP(Tabelle14[[#This Row],[Wasser Normallisiert]]*2,0)/2)</f>
        <v>2.5</v>
      </c>
    </row>
    <row r="322" spans="2:9" ht="15" customHeight="1" x14ac:dyDescent="0.25">
      <c r="B322" s="10">
        <v>320</v>
      </c>
      <c r="C322" s="12" t="s">
        <v>455</v>
      </c>
      <c r="D322" s="6">
        <v>136</v>
      </c>
      <c r="E322" s="6">
        <f>((Tabelle14[[#This Row],[CO2 /100g]]^(1/3.3))*0.9)-2.26</f>
        <v>1.728131330792912</v>
      </c>
      <c r="F322" s="7">
        <f>MIN(5,ROUNDUP(Tabelle14[[#This Row],[CO2 Normallisiert]]*2,0)/2)</f>
        <v>2</v>
      </c>
      <c r="G322" s="9">
        <v>130</v>
      </c>
      <c r="H322" s="6">
        <f>MAX(0,((Tabelle14[[#This Row],[Wasser / 100g]]^(1/3.5))*0.95)-2.08)</f>
        <v>1.7368704553213314</v>
      </c>
      <c r="I322" s="6">
        <f>MIN(5,ROUNDUP(Tabelle14[[#This Row],[Wasser Normallisiert]]*2,0)/2)</f>
        <v>2</v>
      </c>
    </row>
    <row r="323" spans="2:9" ht="15" customHeight="1" x14ac:dyDescent="0.25">
      <c r="B323" s="10">
        <v>321</v>
      </c>
      <c r="C323" s="12" t="s">
        <v>456</v>
      </c>
      <c r="D323" s="6">
        <v>233</v>
      </c>
      <c r="E323" s="6">
        <f>((Tabelle14[[#This Row],[CO2 /100g]]^(1/3.3))*0.9)-2.26</f>
        <v>2.4348648145660308</v>
      </c>
      <c r="F323" s="7">
        <f>MIN(5,ROUNDUP(Tabelle14[[#This Row],[CO2 Normallisiert]]*2,0)/2)</f>
        <v>2.5</v>
      </c>
      <c r="G323" s="9">
        <v>122</v>
      </c>
      <c r="H323" s="6">
        <f>MAX(0,((Tabelle14[[#This Row],[Wasser / 100g]]^(1/3.5))*0.95)-2.08)</f>
        <v>1.6682315682955657</v>
      </c>
      <c r="I323" s="6">
        <f>MIN(5,ROUNDUP(Tabelle14[[#This Row],[Wasser Normallisiert]]*2,0)/2)</f>
        <v>2</v>
      </c>
    </row>
    <row r="324" spans="2:9" ht="15" customHeight="1" x14ac:dyDescent="0.25">
      <c r="B324" s="10">
        <v>322</v>
      </c>
      <c r="C324" s="12" t="s">
        <v>457</v>
      </c>
      <c r="D324" s="6">
        <v>43</v>
      </c>
      <c r="E324" s="6">
        <f>((Tabelle14[[#This Row],[CO2 /100g]]^(1/3.3))*0.9)-2.26</f>
        <v>0.55340950597965621</v>
      </c>
      <c r="F324" s="7">
        <f>MIN(5,ROUNDUP(Tabelle14[[#This Row],[CO2 Normallisiert]]*2,0)/2)</f>
        <v>1</v>
      </c>
      <c r="G324" s="9">
        <v>45</v>
      </c>
      <c r="H324" s="6">
        <f>MAX(0,((Tabelle14[[#This Row],[Wasser / 100g]]^(1/3.5))*0.95)-2.08)</f>
        <v>0.73883748285268158</v>
      </c>
      <c r="I324" s="6">
        <f>MIN(5,ROUNDUP(Tabelle14[[#This Row],[Wasser Normallisiert]]*2,0)/2)</f>
        <v>1</v>
      </c>
    </row>
    <row r="325" spans="2:9" ht="15" customHeight="1" x14ac:dyDescent="0.25">
      <c r="B325" s="10">
        <v>323</v>
      </c>
      <c r="C325" s="12" t="s">
        <v>459</v>
      </c>
      <c r="D325" s="6">
        <v>314</v>
      </c>
      <c r="E325" s="6">
        <f>((Tabelle14[[#This Row],[CO2 /100g]]^(1/3.3))*0.9)-2.26</f>
        <v>2.8791093338616394</v>
      </c>
      <c r="F325" s="7">
        <f>MIN(5,ROUNDUP(Tabelle14[[#This Row],[CO2 Normallisiert]]*2,0)/2)</f>
        <v>3</v>
      </c>
      <c r="G325" s="9">
        <v>346</v>
      </c>
      <c r="H325" s="6">
        <f>MAX(0,((Tabelle14[[#This Row],[Wasser / 100g]]^(1/3.5))*0.95)-2.08)</f>
        <v>2.9686343662935126</v>
      </c>
      <c r="I325" s="6">
        <f>MIN(5,ROUNDUP(Tabelle14[[#This Row],[Wasser Normallisiert]]*2,0)/2)</f>
        <v>3</v>
      </c>
    </row>
    <row r="326" spans="2:9" ht="15" customHeight="1" x14ac:dyDescent="0.25">
      <c r="B326" s="10">
        <v>324</v>
      </c>
      <c r="C326" s="12" t="s">
        <v>460</v>
      </c>
      <c r="D326" s="6">
        <v>44</v>
      </c>
      <c r="E326" s="6">
        <f>((Tabelle14[[#This Row],[CO2 /100g]]^(1/3.3))*0.9)-2.26</f>
        <v>0.57307761105324406</v>
      </c>
      <c r="F326" s="7">
        <f>MIN(5,ROUNDUP(Tabelle14[[#This Row],[CO2 Normallisiert]]*2,0)/2)</f>
        <v>1</v>
      </c>
      <c r="G326" s="9">
        <v>63</v>
      </c>
      <c r="H326" s="6">
        <f>MAX(0,((Tabelle14[[#This Row],[Wasser / 100g]]^(1/3.5))*0.95)-2.08)</f>
        <v>1.0232795901497371</v>
      </c>
      <c r="I326" s="6">
        <f>MIN(5,ROUNDUP(Tabelle14[[#This Row],[Wasser Normallisiert]]*2,0)/2)</f>
        <v>1.5</v>
      </c>
    </row>
    <row r="327" spans="2:9" ht="15" customHeight="1" x14ac:dyDescent="0.25">
      <c r="B327" s="10">
        <v>325</v>
      </c>
      <c r="C327" s="12" t="s">
        <v>461</v>
      </c>
      <c r="D327" s="6">
        <v>95</v>
      </c>
      <c r="E327" s="6">
        <f>((Tabelle14[[#This Row],[CO2 /100g]]^(1/3.3))*0.9)-2.26</f>
        <v>1.3172780098407677</v>
      </c>
      <c r="F327" s="7">
        <f>MIN(5,ROUNDUP(Tabelle14[[#This Row],[CO2 Normallisiert]]*2,0)/2)</f>
        <v>1.5</v>
      </c>
      <c r="G327" s="9">
        <v>62</v>
      </c>
      <c r="H327" s="6">
        <f>MAX(0,((Tabelle14[[#This Row],[Wasser / 100g]]^(1/3.5))*0.95)-2.08)</f>
        <v>1.0091252446416656</v>
      </c>
      <c r="I327" s="6">
        <f>MIN(5,ROUNDUP(Tabelle14[[#This Row],[Wasser Normallisiert]]*2,0)/2)</f>
        <v>1.5</v>
      </c>
    </row>
    <row r="328" spans="2:9" ht="15" customHeight="1" x14ac:dyDescent="0.25">
      <c r="B328" s="10">
        <v>326</v>
      </c>
      <c r="C328" s="12" t="s">
        <v>462</v>
      </c>
      <c r="D328" s="6">
        <v>418</v>
      </c>
      <c r="E328" s="6">
        <f>((Tabelle14[[#This Row],[CO2 /100g]]^(1/3.3))*0.9)-2.26</f>
        <v>3.3445190850077902</v>
      </c>
      <c r="F328" s="7">
        <f>MIN(5,ROUNDUP(Tabelle14[[#This Row],[CO2 Normallisiert]]*2,0)/2)</f>
        <v>3.5</v>
      </c>
      <c r="G328" s="9">
        <v>429</v>
      </c>
      <c r="H328" s="6">
        <f>MAX(0,((Tabelle14[[#This Row],[Wasser / 100g]]^(1/3.5))*0.95)-2.08)</f>
        <v>3.2885161039126887</v>
      </c>
      <c r="I328" s="6">
        <f>MIN(5,ROUNDUP(Tabelle14[[#This Row],[Wasser Normallisiert]]*2,0)/2)</f>
        <v>3.5</v>
      </c>
    </row>
    <row r="329" spans="2:9" ht="15" customHeight="1" x14ac:dyDescent="0.25">
      <c r="B329" s="10">
        <v>327</v>
      </c>
      <c r="C329" s="12" t="s">
        <v>464</v>
      </c>
      <c r="D329" s="6">
        <v>179</v>
      </c>
      <c r="E329" s="6">
        <f>((Tabelle14[[#This Row],[CO2 /100g]]^(1/3.3))*0.9)-2.26</f>
        <v>2.0743626578853283</v>
      </c>
      <c r="F329" s="7">
        <f>MIN(5,ROUNDUP(Tabelle14[[#This Row],[CO2 Normallisiert]]*2,0)/2)</f>
        <v>2.5</v>
      </c>
      <c r="G329" s="9">
        <v>102</v>
      </c>
      <c r="H329" s="6">
        <f>MAX(0,((Tabelle14[[#This Row],[Wasser / 100g]]^(1/3.5))*0.95)-2.08)</f>
        <v>1.4813066335061187</v>
      </c>
      <c r="I329" s="6">
        <f>MIN(5,ROUNDUP(Tabelle14[[#This Row],[Wasser Normallisiert]]*2,0)/2)</f>
        <v>1.5</v>
      </c>
    </row>
    <row r="330" spans="2:9" ht="15" customHeight="1" x14ac:dyDescent="0.25">
      <c r="B330" s="10">
        <v>328</v>
      </c>
      <c r="C330" s="12" t="s">
        <v>466</v>
      </c>
      <c r="D330" s="6">
        <v>194</v>
      </c>
      <c r="E330" s="6">
        <f>((Tabelle14[[#This Row],[CO2 /100g]]^(1/3.3))*0.9)-2.26</f>
        <v>2.1813577915589297</v>
      </c>
      <c r="F330" s="7">
        <f>MIN(5,ROUNDUP(Tabelle14[[#This Row],[CO2 Normallisiert]]*2,0)/2)</f>
        <v>2.5</v>
      </c>
      <c r="G330" s="9">
        <v>245</v>
      </c>
      <c r="H330" s="6">
        <f>MAX(0,((Tabelle14[[#This Row],[Wasser / 100g]]^(1/3.5))*0.95)-2.08)</f>
        <v>2.4944879353697385</v>
      </c>
      <c r="I330" s="6">
        <f>MIN(5,ROUNDUP(Tabelle14[[#This Row],[Wasser Normallisiert]]*2,0)/2)</f>
        <v>2.5</v>
      </c>
    </row>
    <row r="331" spans="2:9" ht="15" customHeight="1" x14ac:dyDescent="0.25">
      <c r="B331" s="10">
        <v>329</v>
      </c>
      <c r="C331" s="12" t="s">
        <v>467</v>
      </c>
      <c r="D331" s="6">
        <v>296</v>
      </c>
      <c r="E331" s="6">
        <f>((Tabelle14[[#This Row],[CO2 /100g]]^(1/3.3))*0.9)-2.26</f>
        <v>2.7879934825234889</v>
      </c>
      <c r="F331" s="7">
        <f>MIN(5,ROUNDUP(Tabelle14[[#This Row],[CO2 Normallisiert]]*2,0)/2)</f>
        <v>3</v>
      </c>
      <c r="G331" s="9">
        <v>321</v>
      </c>
      <c r="H331" s="6">
        <f>MAX(0,((Tabelle14[[#This Row],[Wasser / 100g]]^(1/3.5))*0.95)-2.08)</f>
        <v>2.8616035493056948</v>
      </c>
      <c r="I331" s="6">
        <f>MIN(5,ROUNDUP(Tabelle14[[#This Row],[Wasser Normallisiert]]*2,0)/2)</f>
        <v>3</v>
      </c>
    </row>
    <row r="332" spans="2:9" ht="15" customHeight="1" x14ac:dyDescent="0.25">
      <c r="B332" s="10">
        <v>330</v>
      </c>
      <c r="C332" s="12" t="s">
        <v>468</v>
      </c>
      <c r="D332" s="6">
        <v>543</v>
      </c>
      <c r="E332" s="6">
        <f>((Tabelle14[[#This Row],[CO2 /100g]]^(1/3.3))*0.9)-2.26</f>
        <v>3.8069404273064196</v>
      </c>
      <c r="F332" s="7">
        <f>MIN(5,ROUNDUP(Tabelle14[[#This Row],[CO2 Normallisiert]]*2,0)/2)</f>
        <v>4</v>
      </c>
      <c r="G332" s="9">
        <v>344</v>
      </c>
      <c r="H332" s="6">
        <f>MAX(0,((Tabelle14[[#This Row],[Wasser / 100g]]^(1/3.5))*0.95)-2.08)</f>
        <v>2.9602791369343384</v>
      </c>
      <c r="I332" s="6">
        <f>MIN(5,ROUNDUP(Tabelle14[[#This Row],[Wasser Normallisiert]]*2,0)/2)</f>
        <v>3</v>
      </c>
    </row>
    <row r="333" spans="2:9" ht="15" customHeight="1" x14ac:dyDescent="0.25">
      <c r="B333" s="10">
        <v>331</v>
      </c>
      <c r="C333" s="12" t="s">
        <v>469</v>
      </c>
      <c r="D333" s="6">
        <v>198</v>
      </c>
      <c r="E333" s="6">
        <f>((Tabelle14[[#This Row],[CO2 /100g]]^(1/3.3))*0.9)-2.26</f>
        <v>2.2089105100978168</v>
      </c>
      <c r="F333" s="7">
        <f>MIN(5,ROUNDUP(Tabelle14[[#This Row],[CO2 Normallisiert]]*2,0)/2)</f>
        <v>2.5</v>
      </c>
      <c r="G333" s="9">
        <v>436</v>
      </c>
      <c r="H333" s="6">
        <f>MAX(0,((Tabelle14[[#This Row],[Wasser / 100g]]^(1/3.5))*0.95)-2.08)</f>
        <v>3.3133996449665997</v>
      </c>
      <c r="I333" s="6">
        <f>MIN(5,ROUNDUP(Tabelle14[[#This Row],[Wasser Normallisiert]]*2,0)/2)</f>
        <v>3.5</v>
      </c>
    </row>
    <row r="334" spans="2:9" ht="15" customHeight="1" x14ac:dyDescent="0.25">
      <c r="B334" s="10">
        <v>332</v>
      </c>
      <c r="C334" s="12" t="s">
        <v>471</v>
      </c>
      <c r="D334" s="6">
        <v>750</v>
      </c>
      <c r="E334" s="6">
        <f>((Tabelle14[[#This Row],[CO2 /100g]]^(1/3.3))*0.9)-2.26</f>
        <v>4.4307252357066167</v>
      </c>
      <c r="F334" s="7">
        <f>MIN(5,ROUNDUP(Tabelle14[[#This Row],[CO2 Normallisiert]]*2,0)/2)</f>
        <v>4.5</v>
      </c>
      <c r="G334" s="9">
        <v>490</v>
      </c>
      <c r="H334" s="6">
        <f>MAX(0,((Tabelle14[[#This Row],[Wasser / 100g]]^(1/3.5))*0.95)-2.08)</f>
        <v>3.496363254209351</v>
      </c>
      <c r="I334" s="6">
        <f>MIN(5,ROUNDUP(Tabelle14[[#This Row],[Wasser Normallisiert]]*2,0)/2)</f>
        <v>3.5</v>
      </c>
    </row>
    <row r="335" spans="2:9" ht="15" customHeight="1" x14ac:dyDescent="0.25">
      <c r="B335" s="10">
        <v>333</v>
      </c>
      <c r="C335" s="12" t="s">
        <v>473</v>
      </c>
      <c r="D335" s="6">
        <v>413</v>
      </c>
      <c r="E335" s="6">
        <f>((Tabelle14[[#This Row],[CO2 /100g]]^(1/3.3))*0.9)-2.26</f>
        <v>3.3241187632504197</v>
      </c>
      <c r="F335" s="7">
        <f>MIN(5,ROUNDUP(Tabelle14[[#This Row],[CO2 Normallisiert]]*2,0)/2)</f>
        <v>3.5</v>
      </c>
      <c r="G335" s="9">
        <v>366</v>
      </c>
      <c r="H335" s="6">
        <f>MAX(0,((Tabelle14[[#This Row],[Wasser / 100g]]^(1/3.5))*0.95)-2.08)</f>
        <v>3.0503473800454017</v>
      </c>
      <c r="I335" s="6">
        <f>MIN(5,ROUNDUP(Tabelle14[[#This Row],[Wasser Normallisiert]]*2,0)/2)</f>
        <v>3.5</v>
      </c>
    </row>
    <row r="336" spans="2:9" ht="15" customHeight="1" x14ac:dyDescent="0.25">
      <c r="B336" s="10">
        <v>334</v>
      </c>
      <c r="C336" s="12" t="s">
        <v>475</v>
      </c>
      <c r="D336" s="6">
        <v>260</v>
      </c>
      <c r="E336" s="6">
        <f>((Tabelle14[[#This Row],[CO2 /100g]]^(1/3.3))*0.9)-2.26</f>
        <v>2.5934729654673188</v>
      </c>
      <c r="F336" s="7">
        <f>MIN(5,ROUNDUP(Tabelle14[[#This Row],[CO2 Normallisiert]]*2,0)/2)</f>
        <v>3</v>
      </c>
      <c r="G336" s="9">
        <v>276</v>
      </c>
      <c r="H336" s="6">
        <f>MAX(0,((Tabelle14[[#This Row],[Wasser / 100g]]^(1/3.5))*0.95)-2.08)</f>
        <v>2.6528877036404745</v>
      </c>
      <c r="I336" s="6">
        <f>MIN(5,ROUNDUP(Tabelle14[[#This Row],[Wasser Normallisiert]]*2,0)/2)</f>
        <v>3</v>
      </c>
    </row>
    <row r="337" spans="2:9" ht="15" customHeight="1" x14ac:dyDescent="0.25">
      <c r="B337" s="10">
        <v>335</v>
      </c>
      <c r="C337" s="12" t="s">
        <v>476</v>
      </c>
      <c r="D337" s="6">
        <v>229</v>
      </c>
      <c r="E337" s="6">
        <f>((Tabelle14[[#This Row],[CO2 /100g]]^(1/3.3))*0.9)-2.26</f>
        <v>2.4102934625906993</v>
      </c>
      <c r="F337" s="7">
        <f>MIN(5,ROUNDUP(Tabelle14[[#This Row],[CO2 Normallisiert]]*2,0)/2)</f>
        <v>2.5</v>
      </c>
      <c r="G337" s="9">
        <v>267</v>
      </c>
      <c r="H337" s="6">
        <f>MAX(0,((Tabelle14[[#This Row],[Wasser / 100g]]^(1/3.5))*0.95)-2.08)</f>
        <v>2.6082691593110958</v>
      </c>
      <c r="I337" s="6">
        <f>MIN(5,ROUNDUP(Tabelle14[[#This Row],[Wasser Normallisiert]]*2,0)/2)</f>
        <v>3</v>
      </c>
    </row>
    <row r="338" spans="2:9" ht="15" customHeight="1" x14ac:dyDescent="0.25">
      <c r="B338" s="10">
        <v>336</v>
      </c>
      <c r="C338" s="12" t="s">
        <v>478</v>
      </c>
      <c r="D338" s="6">
        <v>193</v>
      </c>
      <c r="E338" s="6">
        <f>((Tabelle14[[#This Row],[CO2 /100g]]^(1/3.3))*0.9)-2.26</f>
        <v>2.1744078396588113</v>
      </c>
      <c r="F338" s="7">
        <f>MIN(5,ROUNDUP(Tabelle14[[#This Row],[CO2 Normallisiert]]*2,0)/2)</f>
        <v>2.5</v>
      </c>
      <c r="G338" s="9">
        <v>121</v>
      </c>
      <c r="H338" s="6">
        <f>MAX(0,((Tabelle14[[#This Row],[Wasser / 100g]]^(1/3.5))*0.95)-2.08)</f>
        <v>1.6594276904863281</v>
      </c>
      <c r="I338" s="6">
        <f>MIN(5,ROUNDUP(Tabelle14[[#This Row],[Wasser Normallisiert]]*2,0)/2)</f>
        <v>2</v>
      </c>
    </row>
    <row r="339" spans="2:9" ht="15" customHeight="1" x14ac:dyDescent="0.25">
      <c r="B339" s="10">
        <v>337</v>
      </c>
      <c r="C339" s="12" t="s">
        <v>480</v>
      </c>
      <c r="D339" s="6">
        <v>168</v>
      </c>
      <c r="E339" s="6">
        <f>((Tabelle14[[#This Row],[CO2 /100g]]^(1/3.3))*0.9)-2.26</f>
        <v>1.991857055509282</v>
      </c>
      <c r="F339" s="7">
        <f>MIN(5,ROUNDUP(Tabelle14[[#This Row],[CO2 Normallisiert]]*2,0)/2)</f>
        <v>2</v>
      </c>
      <c r="G339" s="9">
        <v>174</v>
      </c>
      <c r="H339" s="6">
        <f>MAX(0,((Tabelle14[[#This Row],[Wasser / 100g]]^(1/3.5))*0.95)-2.08)</f>
        <v>2.068399119106382</v>
      </c>
      <c r="I339" s="6">
        <f>MIN(5,ROUNDUP(Tabelle14[[#This Row],[Wasser Normallisiert]]*2,0)/2)</f>
        <v>2.5</v>
      </c>
    </row>
    <row r="340" spans="2:9" ht="15" customHeight="1" x14ac:dyDescent="0.25">
      <c r="B340" s="10">
        <v>338</v>
      </c>
      <c r="C340" s="12" t="s">
        <v>481</v>
      </c>
      <c r="D340" s="6">
        <v>741</v>
      </c>
      <c r="E340" s="6">
        <f>((Tabelle14[[#This Row],[CO2 /100g]]^(1/3.3))*0.9)-2.26</f>
        <v>4.4062928862400934</v>
      </c>
      <c r="F340" s="7">
        <f>MIN(5,ROUNDUP(Tabelle14[[#This Row],[CO2 Normallisiert]]*2,0)/2)</f>
        <v>4.5</v>
      </c>
      <c r="G340" s="9">
        <v>785</v>
      </c>
      <c r="H340" s="6">
        <f>MAX(0,((Tabelle14[[#This Row],[Wasser / 100g]]^(1/3.5))*0.95)-2.08)</f>
        <v>4.300125498892216</v>
      </c>
      <c r="I340" s="6">
        <f>MIN(5,ROUNDUP(Tabelle14[[#This Row],[Wasser Normallisiert]]*2,0)/2)</f>
        <v>4.5</v>
      </c>
    </row>
    <row r="341" spans="2:9" ht="15" customHeight="1" x14ac:dyDescent="0.25">
      <c r="B341" s="10">
        <v>339</v>
      </c>
      <c r="C341" s="12" t="s">
        <v>482</v>
      </c>
      <c r="D341" s="6">
        <v>291</v>
      </c>
      <c r="E341" s="6">
        <f>((Tabelle14[[#This Row],[CO2 /100g]]^(1/3.3))*0.9)-2.26</f>
        <v>2.7620004642669818</v>
      </c>
      <c r="F341" s="7">
        <f>MIN(5,ROUNDUP(Tabelle14[[#This Row],[CO2 Normallisiert]]*2,0)/2)</f>
        <v>3</v>
      </c>
      <c r="G341" s="9">
        <v>200</v>
      </c>
      <c r="H341" s="6">
        <f>MAX(0,((Tabelle14[[#This Row],[Wasser / 100g]]^(1/3.5))*0.95)-2.08)</f>
        <v>2.236788260271231</v>
      </c>
      <c r="I341" s="6">
        <f>MIN(5,ROUNDUP(Tabelle14[[#This Row],[Wasser Normallisiert]]*2,0)/2)</f>
        <v>2.5</v>
      </c>
    </row>
    <row r="342" spans="2:9" ht="15" customHeight="1" x14ac:dyDescent="0.25">
      <c r="B342" s="10">
        <v>340</v>
      </c>
      <c r="C342" s="12" t="s">
        <v>483</v>
      </c>
      <c r="D342" s="6">
        <v>415</v>
      </c>
      <c r="E342" s="6">
        <f>((Tabelle14[[#This Row],[CO2 /100g]]^(1/3.3))*0.9)-2.26</f>
        <v>3.3322994380721713</v>
      </c>
      <c r="F342" s="7">
        <f>MIN(5,ROUNDUP(Tabelle14[[#This Row],[CO2 Normallisiert]]*2,0)/2)</f>
        <v>3.5</v>
      </c>
      <c r="G342" s="9">
        <v>458</v>
      </c>
      <c r="H342" s="6">
        <f>MAX(0,((Tabelle14[[#This Row],[Wasser / 100g]]^(1/3.5))*0.95)-2.08)</f>
        <v>3.3897929194707652</v>
      </c>
      <c r="I342" s="6">
        <f>MIN(5,ROUNDUP(Tabelle14[[#This Row],[Wasser Normallisiert]]*2,0)/2)</f>
        <v>3.5</v>
      </c>
    </row>
    <row r="343" spans="2:9" ht="15" customHeight="1" x14ac:dyDescent="0.25">
      <c r="B343" s="10">
        <v>341</v>
      </c>
      <c r="C343" s="12" t="s">
        <v>484</v>
      </c>
      <c r="D343" s="6">
        <v>820</v>
      </c>
      <c r="E343" s="6">
        <f>((Tabelle14[[#This Row],[CO2 /100g]]^(1/3.3))*0.9)-2.26</f>
        <v>4.6141088387288942</v>
      </c>
      <c r="F343" s="7">
        <f>MIN(5,ROUNDUP(Tabelle14[[#This Row],[CO2 Normallisiert]]*2,0)/2)</f>
        <v>5</v>
      </c>
      <c r="G343" s="9">
        <v>638</v>
      </c>
      <c r="H343" s="6">
        <f>MAX(0,((Tabelle14[[#This Row],[Wasser / 100g]]^(1/3.5))*0.95)-2.08)</f>
        <v>3.9331348315043329</v>
      </c>
      <c r="I343" s="6">
        <f>MIN(5,ROUNDUP(Tabelle14[[#This Row],[Wasser Normallisiert]]*2,0)/2)</f>
        <v>4</v>
      </c>
    </row>
    <row r="344" spans="2:9" ht="15" customHeight="1" x14ac:dyDescent="0.25">
      <c r="B344" s="10">
        <v>342</v>
      </c>
      <c r="C344" s="12" t="s">
        <v>485</v>
      </c>
      <c r="D344" s="6">
        <v>78</v>
      </c>
      <c r="E344" s="6">
        <f>((Tabelle14[[#This Row],[CO2 /100g]]^(1/3.3))*0.9)-2.26</f>
        <v>1.1098029818920789</v>
      </c>
      <c r="F344" s="7">
        <f>MIN(5,ROUNDUP(Tabelle14[[#This Row],[CO2 Normallisiert]]*2,0)/2)</f>
        <v>1.5</v>
      </c>
      <c r="G344" s="9">
        <v>53</v>
      </c>
      <c r="H344" s="6">
        <f>MAX(0,((Tabelle14[[#This Row],[Wasser / 100g]]^(1/3.5))*0.95)-2.08)</f>
        <v>0.87375081006964628</v>
      </c>
      <c r="I344" s="6">
        <f>MIN(5,ROUNDUP(Tabelle14[[#This Row],[Wasser Normallisiert]]*2,0)/2)</f>
        <v>1</v>
      </c>
    </row>
    <row r="345" spans="2:9" ht="15" customHeight="1" x14ac:dyDescent="0.25">
      <c r="B345" s="10">
        <v>343</v>
      </c>
      <c r="C345" s="12" t="s">
        <v>486</v>
      </c>
      <c r="D345" s="6">
        <v>328</v>
      </c>
      <c r="E345" s="6">
        <f>((Tabelle14[[#This Row],[CO2 /100g]]^(1/3.3))*0.9)-2.26</f>
        <v>2.9474909358151633</v>
      </c>
      <c r="F345" s="7">
        <f>MIN(5,ROUNDUP(Tabelle14[[#This Row],[CO2 Normallisiert]]*2,0)/2)</f>
        <v>3</v>
      </c>
      <c r="G345" s="9">
        <v>245</v>
      </c>
      <c r="H345" s="6">
        <f>MAX(0,((Tabelle14[[#This Row],[Wasser / 100g]]^(1/3.5))*0.95)-2.08)</f>
        <v>2.4944879353697385</v>
      </c>
      <c r="I345" s="6">
        <f>MIN(5,ROUNDUP(Tabelle14[[#This Row],[Wasser Normallisiert]]*2,0)/2)</f>
        <v>2.5</v>
      </c>
    </row>
    <row r="346" spans="2:9" ht="15" customHeight="1" x14ac:dyDescent="0.25">
      <c r="B346" s="10">
        <v>344</v>
      </c>
      <c r="C346" s="12" t="s">
        <v>487</v>
      </c>
      <c r="D346" s="6">
        <v>158</v>
      </c>
      <c r="E346" s="6">
        <f>((Tabelle14[[#This Row],[CO2 /100g]]^(1/3.3))*0.9)-2.26</f>
        <v>1.9135174411404723</v>
      </c>
      <c r="F346" s="7">
        <f>MIN(5,ROUNDUP(Tabelle14[[#This Row],[CO2 Normallisiert]]*2,0)/2)</f>
        <v>2</v>
      </c>
      <c r="G346" s="9">
        <v>181</v>
      </c>
      <c r="H346" s="6">
        <f>MAX(0,((Tabelle14[[#This Row],[Wasser / 100g]]^(1/3.5))*0.95)-2.08)</f>
        <v>2.1154121025123676</v>
      </c>
      <c r="I346" s="6">
        <f>MIN(5,ROUNDUP(Tabelle14[[#This Row],[Wasser Normallisiert]]*2,0)/2)</f>
        <v>2.5</v>
      </c>
    </row>
    <row r="347" spans="2:9" ht="15" customHeight="1" x14ac:dyDescent="0.25">
      <c r="B347" s="10">
        <v>345</v>
      </c>
      <c r="C347" s="12" t="s">
        <v>488</v>
      </c>
      <c r="D347" s="6">
        <v>327</v>
      </c>
      <c r="E347" s="6">
        <f>((Tabelle14[[#This Row],[CO2 /100g]]^(1/3.3))*0.9)-2.26</f>
        <v>2.9426747558303523</v>
      </c>
      <c r="F347" s="7">
        <f>MIN(5,ROUNDUP(Tabelle14[[#This Row],[CO2 Normallisiert]]*2,0)/2)</f>
        <v>3</v>
      </c>
      <c r="G347" s="9">
        <v>285</v>
      </c>
      <c r="H347" s="6">
        <f>MAX(0,((Tabelle14[[#This Row],[Wasser / 100g]]^(1/3.5))*0.95)-2.08)</f>
        <v>2.6964787614962047</v>
      </c>
      <c r="I347" s="6">
        <f>MIN(5,ROUNDUP(Tabelle14[[#This Row],[Wasser Normallisiert]]*2,0)/2)</f>
        <v>3</v>
      </c>
    </row>
    <row r="348" spans="2:9" ht="15" customHeight="1" x14ac:dyDescent="0.25">
      <c r="B348" s="10">
        <v>346</v>
      </c>
      <c r="C348" s="12" t="s">
        <v>489</v>
      </c>
      <c r="D348" s="6">
        <v>156</v>
      </c>
      <c r="E348" s="6">
        <f>((Tabelle14[[#This Row],[CO2 /100g]]^(1/3.3))*0.9)-2.26</f>
        <v>1.8974374234167151</v>
      </c>
      <c r="F348" s="7">
        <f>MIN(5,ROUNDUP(Tabelle14[[#This Row],[CO2 Normallisiert]]*2,0)/2)</f>
        <v>2</v>
      </c>
      <c r="G348" s="9">
        <v>163</v>
      </c>
      <c r="H348" s="6">
        <f>MAX(0,((Tabelle14[[#This Row],[Wasser / 100g]]^(1/3.5))*0.95)-2.08)</f>
        <v>1.9917134495766282</v>
      </c>
      <c r="I348" s="6">
        <f>MIN(5,ROUNDUP(Tabelle14[[#This Row],[Wasser Normallisiert]]*2,0)/2)</f>
        <v>2</v>
      </c>
    </row>
    <row r="349" spans="2:9" ht="15" customHeight="1" x14ac:dyDescent="0.25">
      <c r="B349" s="10">
        <v>347</v>
      </c>
      <c r="C349" s="12" t="s">
        <v>490</v>
      </c>
      <c r="D349" s="6">
        <v>175</v>
      </c>
      <c r="E349" s="6">
        <f>((Tabelle14[[#This Row],[CO2 /100g]]^(1/3.3))*0.9)-2.26</f>
        <v>2.044780473100424</v>
      </c>
      <c r="F349" s="7">
        <f>MIN(5,ROUNDUP(Tabelle14[[#This Row],[CO2 Normallisiert]]*2,0)/2)</f>
        <v>2.5</v>
      </c>
      <c r="G349" s="9">
        <v>188</v>
      </c>
      <c r="H349" s="6">
        <f>MAX(0,((Tabelle14[[#This Row],[Wasser / 100g]]^(1/3.5))*0.95)-2.08)</f>
        <v>2.161143730834227</v>
      </c>
      <c r="I349" s="6">
        <f>MIN(5,ROUNDUP(Tabelle14[[#This Row],[Wasser Normallisiert]]*2,0)/2)</f>
        <v>2.5</v>
      </c>
    </row>
    <row r="350" spans="2:9" ht="15" customHeight="1" x14ac:dyDescent="0.25">
      <c r="B350" s="10">
        <v>348</v>
      </c>
      <c r="C350" s="12" t="s">
        <v>491</v>
      </c>
      <c r="D350" s="6">
        <v>257</v>
      </c>
      <c r="E350" s="6">
        <f>((Tabelle14[[#This Row],[CO2 /100g]]^(1/3.3))*0.9)-2.26</f>
        <v>2.5764340946519413</v>
      </c>
      <c r="F350" s="7">
        <f>MIN(5,ROUNDUP(Tabelle14[[#This Row],[CO2 Normallisiert]]*2,0)/2)</f>
        <v>3</v>
      </c>
      <c r="G350" s="9">
        <v>142</v>
      </c>
      <c r="H350" s="6">
        <f>MAX(0,((Tabelle14[[#This Row],[Wasser / 100g]]^(1/3.5))*0.95)-2.08)</f>
        <v>1.8343813381649823</v>
      </c>
      <c r="I350" s="6">
        <f>MIN(5,ROUNDUP(Tabelle14[[#This Row],[Wasser Normallisiert]]*2,0)/2)</f>
        <v>2</v>
      </c>
    </row>
    <row r="351" spans="2:9" ht="15" customHeight="1" x14ac:dyDescent="0.25">
      <c r="B351" s="10">
        <v>349</v>
      </c>
      <c r="C351" s="12" t="s">
        <v>492</v>
      </c>
      <c r="D351" s="6">
        <v>385</v>
      </c>
      <c r="E351" s="6">
        <f>((Tabelle14[[#This Row],[CO2 /100g]]^(1/3.3))*0.9)-2.26</f>
        <v>3.2065768488821424</v>
      </c>
      <c r="F351" s="7">
        <f>MIN(5,ROUNDUP(Tabelle14[[#This Row],[CO2 Normallisiert]]*2,0)/2)</f>
        <v>3.5</v>
      </c>
      <c r="G351" s="9">
        <v>388</v>
      </c>
      <c r="H351" s="6">
        <f>MAX(0,((Tabelle14[[#This Row],[Wasser / 100g]]^(1/3.5))*0.95)-2.08)</f>
        <v>3.1366273333773158</v>
      </c>
      <c r="I351" s="6">
        <f>MIN(5,ROUNDUP(Tabelle14[[#This Row],[Wasser Normallisiert]]*2,0)/2)</f>
        <v>3.5</v>
      </c>
    </row>
    <row r="352" spans="2:9" ht="15" customHeight="1" x14ac:dyDescent="0.25">
      <c r="B352" s="10">
        <v>350</v>
      </c>
      <c r="C352" s="12" t="s">
        <v>493</v>
      </c>
      <c r="D352" s="6">
        <v>370</v>
      </c>
      <c r="E352" s="6">
        <f>((Tabelle14[[#This Row],[CO2 /100g]]^(1/3.3))*0.9)-2.26</f>
        <v>3.1411402684951124</v>
      </c>
      <c r="F352" s="7">
        <f>MIN(5,ROUNDUP(Tabelle14[[#This Row],[CO2 Normallisiert]]*2,0)/2)</f>
        <v>3.5</v>
      </c>
      <c r="G352" s="9">
        <v>266</v>
      </c>
      <c r="H352" s="6">
        <f>MAX(0,((Tabelle14[[#This Row],[Wasser / 100g]]^(1/3.5))*0.95)-2.08)</f>
        <v>2.6032455598377515</v>
      </c>
      <c r="I352" s="6">
        <f>MIN(5,ROUNDUP(Tabelle14[[#This Row],[Wasser Normallisiert]]*2,0)/2)</f>
        <v>3</v>
      </c>
    </row>
    <row r="353" spans="2:9" ht="15" customHeight="1" x14ac:dyDescent="0.25">
      <c r="B353" s="10">
        <v>351</v>
      </c>
      <c r="C353" s="12" t="s">
        <v>494</v>
      </c>
      <c r="D353" s="6">
        <v>159</v>
      </c>
      <c r="E353" s="6">
        <f>((Tabelle14[[#This Row],[CO2 /100g]]^(1/3.3))*0.9)-2.26</f>
        <v>1.9215042941229772</v>
      </c>
      <c r="F353" s="7">
        <f>MIN(5,ROUNDUP(Tabelle14[[#This Row],[CO2 Normallisiert]]*2,0)/2)</f>
        <v>2</v>
      </c>
      <c r="G353" s="9">
        <v>111</v>
      </c>
      <c r="H353" s="6">
        <f>MAX(0,((Tabelle14[[#This Row],[Wasser / 100g]]^(1/3.5))*0.95)-2.08)</f>
        <v>1.5683928776237952</v>
      </c>
      <c r="I353" s="6">
        <f>MIN(5,ROUNDUP(Tabelle14[[#This Row],[Wasser Normallisiert]]*2,0)/2)</f>
        <v>2</v>
      </c>
    </row>
    <row r="354" spans="2:9" ht="15" customHeight="1" x14ac:dyDescent="0.25">
      <c r="B354" s="10">
        <v>352</v>
      </c>
      <c r="C354" s="12" t="s">
        <v>495</v>
      </c>
      <c r="D354" s="6">
        <v>143</v>
      </c>
      <c r="E354" s="6">
        <f>((Tabelle14[[#This Row],[CO2 /100g]]^(1/3.3))*0.9)-2.26</f>
        <v>1.7892504768307056</v>
      </c>
      <c r="F354" s="7">
        <f>MIN(5,ROUNDUP(Tabelle14[[#This Row],[CO2 Normallisiert]]*2,0)/2)</f>
        <v>2</v>
      </c>
      <c r="G354" s="9">
        <v>178</v>
      </c>
      <c r="H354" s="6">
        <f>MAX(0,((Tabelle14[[#This Row],[Wasser / 100g]]^(1/3.5))*0.95)-2.08)</f>
        <v>2.0954255924138758</v>
      </c>
      <c r="I354" s="6">
        <f>MIN(5,ROUNDUP(Tabelle14[[#This Row],[Wasser Normallisiert]]*2,0)/2)</f>
        <v>2.5</v>
      </c>
    </row>
    <row r="355" spans="2:9" ht="15" customHeight="1" x14ac:dyDescent="0.25">
      <c r="B355" s="10">
        <v>353</v>
      </c>
      <c r="C355" s="12" t="s">
        <v>496</v>
      </c>
      <c r="D355" s="6">
        <v>190</v>
      </c>
      <c r="E355" s="6">
        <f>((Tabelle14[[#This Row],[CO2 /100g]]^(1/3.3))*0.9)-2.26</f>
        <v>2.1534062293835232</v>
      </c>
      <c r="F355" s="7">
        <f>MIN(5,ROUNDUP(Tabelle14[[#This Row],[CO2 Normallisiert]]*2,0)/2)</f>
        <v>2.5</v>
      </c>
      <c r="G355" s="9">
        <v>193</v>
      </c>
      <c r="H355" s="6">
        <f>MAX(0,((Tabelle14[[#This Row],[Wasser / 100g]]^(1/3.5))*0.95)-2.08)</f>
        <v>2.1930697240033341</v>
      </c>
      <c r="I355" s="6">
        <f>MIN(5,ROUNDUP(Tabelle14[[#This Row],[Wasser Normallisiert]]*2,0)/2)</f>
        <v>2.5</v>
      </c>
    </row>
    <row r="356" spans="2:9" ht="15" customHeight="1" x14ac:dyDescent="0.25">
      <c r="B356" s="10">
        <v>354</v>
      </c>
      <c r="C356" s="12" t="s">
        <v>497</v>
      </c>
      <c r="D356" s="6">
        <v>184</v>
      </c>
      <c r="E356" s="6">
        <f>((Tabelle14[[#This Row],[CO2 /100g]]^(1/3.3))*0.9)-2.26</f>
        <v>2.1106994226658173</v>
      </c>
      <c r="F356" s="7">
        <f>MIN(5,ROUNDUP(Tabelle14[[#This Row],[CO2 Normallisiert]]*2,0)/2)</f>
        <v>2.5</v>
      </c>
      <c r="G356" s="9">
        <v>264</v>
      </c>
      <c r="H356" s="6">
        <f>MAX(0,((Tabelle14[[#This Row],[Wasser / 100g]]^(1/3.5))*0.95)-2.08)</f>
        <v>2.5931577494919011</v>
      </c>
      <c r="I356" s="6">
        <f>MIN(5,ROUNDUP(Tabelle14[[#This Row],[Wasser Normallisiert]]*2,0)/2)</f>
        <v>3</v>
      </c>
    </row>
    <row r="357" spans="2:9" ht="15" customHeight="1" x14ac:dyDescent="0.25">
      <c r="B357" s="10">
        <v>355</v>
      </c>
      <c r="C357" s="12" t="s">
        <v>498</v>
      </c>
      <c r="D357" s="6">
        <v>282</v>
      </c>
      <c r="E357" s="6">
        <f>((Tabelle14[[#This Row],[CO2 /100g]]^(1/3.3))*0.9)-2.26</f>
        <v>2.7144175765511775</v>
      </c>
      <c r="F357" s="7">
        <f>MIN(5,ROUNDUP(Tabelle14[[#This Row],[CO2 Normallisiert]]*2,0)/2)</f>
        <v>3</v>
      </c>
      <c r="G357" s="9">
        <v>255</v>
      </c>
      <c r="H357" s="6">
        <f>MAX(0,((Tabelle14[[#This Row],[Wasser / 100g]]^(1/3.5))*0.95)-2.08)</f>
        <v>2.5470747333494277</v>
      </c>
      <c r="I357" s="6">
        <f>MIN(5,ROUNDUP(Tabelle14[[#This Row],[Wasser Normallisiert]]*2,0)/2)</f>
        <v>3</v>
      </c>
    </row>
    <row r="358" spans="2:9" ht="15" customHeight="1" x14ac:dyDescent="0.25">
      <c r="B358" s="10">
        <v>356</v>
      </c>
      <c r="C358" s="12" t="s">
        <v>499</v>
      </c>
      <c r="D358" s="6">
        <v>391</v>
      </c>
      <c r="E358" s="6">
        <f>((Tabelle14[[#This Row],[CO2 /100g]]^(1/3.3))*0.9)-2.26</f>
        <v>3.2322540495288532</v>
      </c>
      <c r="F358" s="7">
        <f>MIN(5,ROUNDUP(Tabelle14[[#This Row],[CO2 Normallisiert]]*2,0)/2)</f>
        <v>3.5</v>
      </c>
      <c r="G358" s="9">
        <v>401</v>
      </c>
      <c r="H358" s="6">
        <f>MAX(0,((Tabelle14[[#This Row],[Wasser / 100g]]^(1/3.5))*0.95)-2.08)</f>
        <v>3.1859792116645709</v>
      </c>
      <c r="I358" s="6">
        <f>MIN(5,ROUNDUP(Tabelle14[[#This Row],[Wasser Normallisiert]]*2,0)/2)</f>
        <v>3.5</v>
      </c>
    </row>
    <row r="359" spans="2:9" ht="15" customHeight="1" x14ac:dyDescent="0.25">
      <c r="B359" s="10">
        <v>357</v>
      </c>
      <c r="C359" s="12" t="s">
        <v>500</v>
      </c>
      <c r="D359" s="6">
        <v>134</v>
      </c>
      <c r="E359" s="6">
        <f>((Tabelle14[[#This Row],[CO2 /100g]]^(1/3.3))*0.9)-2.26</f>
        <v>1.7102670645942353</v>
      </c>
      <c r="F359" s="7">
        <f>MIN(5,ROUNDUP(Tabelle14[[#This Row],[CO2 Normallisiert]]*2,0)/2)</f>
        <v>2</v>
      </c>
      <c r="G359" s="9">
        <v>173</v>
      </c>
      <c r="H359" s="6">
        <f>MAX(0,((Tabelle14[[#This Row],[Wasser / 100g]]^(1/3.5))*0.95)-2.08)</f>
        <v>2.061573270225785</v>
      </c>
      <c r="I359" s="6">
        <f>MIN(5,ROUNDUP(Tabelle14[[#This Row],[Wasser Normallisiert]]*2,0)/2)</f>
        <v>2.5</v>
      </c>
    </row>
    <row r="360" spans="2:9" ht="15" customHeight="1" x14ac:dyDescent="0.25">
      <c r="B360" s="10">
        <v>358</v>
      </c>
      <c r="C360" s="12" t="s">
        <v>501</v>
      </c>
      <c r="D360" s="6">
        <v>263</v>
      </c>
      <c r="E360" s="6">
        <f>((Tabelle14[[#This Row],[CO2 /100g]]^(1/3.3))*0.9)-2.26</f>
        <v>2.6103753558351928</v>
      </c>
      <c r="F360" s="7">
        <f>MIN(5,ROUNDUP(Tabelle14[[#This Row],[CO2 Normallisiert]]*2,0)/2)</f>
        <v>3</v>
      </c>
      <c r="G360" s="9">
        <v>278</v>
      </c>
      <c r="H360" s="6">
        <f>MAX(0,((Tabelle14[[#This Row],[Wasser / 100g]]^(1/3.5))*0.95)-2.08)</f>
        <v>2.662661387906617</v>
      </c>
      <c r="I360" s="6">
        <f>MIN(5,ROUNDUP(Tabelle14[[#This Row],[Wasser Normallisiert]]*2,0)/2)</f>
        <v>3</v>
      </c>
    </row>
    <row r="361" spans="2:9" ht="15" customHeight="1" x14ac:dyDescent="0.25">
      <c r="B361" s="10">
        <v>359</v>
      </c>
      <c r="C361" s="12" t="s">
        <v>502</v>
      </c>
      <c r="D361" s="6">
        <v>284</v>
      </c>
      <c r="E361" s="6">
        <f>((Tabelle14[[#This Row],[CO2 /100g]]^(1/3.3))*0.9)-2.26</f>
        <v>2.7250820344767401</v>
      </c>
      <c r="F361" s="7">
        <f>MIN(5,ROUNDUP(Tabelle14[[#This Row],[CO2 Normallisiert]]*2,0)/2)</f>
        <v>3</v>
      </c>
      <c r="G361" s="9">
        <v>281</v>
      </c>
      <c r="H361" s="6">
        <f>MAX(0,((Tabelle14[[#This Row],[Wasser / 100g]]^(1/3.5))*0.95)-2.08)</f>
        <v>2.6772281755233092</v>
      </c>
      <c r="I361" s="6">
        <f>MIN(5,ROUNDUP(Tabelle14[[#This Row],[Wasser Normallisiert]]*2,0)/2)</f>
        <v>3</v>
      </c>
    </row>
    <row r="362" spans="2:9" ht="15" customHeight="1" x14ac:dyDescent="0.25">
      <c r="B362" s="10">
        <v>360</v>
      </c>
      <c r="C362" s="12" t="s">
        <v>503</v>
      </c>
      <c r="D362" s="6">
        <v>224</v>
      </c>
      <c r="E362" s="6">
        <f>((Tabelle14[[#This Row],[CO2 /100g]]^(1/3.3))*0.9)-2.26</f>
        <v>2.3791549524197482</v>
      </c>
      <c r="F362" s="7">
        <f>MIN(5,ROUNDUP(Tabelle14[[#This Row],[CO2 Normallisiert]]*2,0)/2)</f>
        <v>2.5</v>
      </c>
      <c r="G362" s="9">
        <v>185</v>
      </c>
      <c r="H362" s="6">
        <f>MAX(0,((Tabelle14[[#This Row],[Wasser / 100g]]^(1/3.5))*0.95)-2.08)</f>
        <v>2.1416959928444577</v>
      </c>
      <c r="I362" s="6">
        <f>MIN(5,ROUNDUP(Tabelle14[[#This Row],[Wasser Normallisiert]]*2,0)/2)</f>
        <v>2.5</v>
      </c>
    </row>
    <row r="363" spans="2:9" ht="15" customHeight="1" x14ac:dyDescent="0.25">
      <c r="B363" s="10">
        <v>361</v>
      </c>
      <c r="C363" s="12" t="s">
        <v>504</v>
      </c>
      <c r="D363" s="6">
        <v>307</v>
      </c>
      <c r="E363" s="6">
        <f>((Tabelle14[[#This Row],[CO2 /100g]]^(1/3.3))*0.9)-2.26</f>
        <v>2.8441191627408111</v>
      </c>
      <c r="F363" s="7">
        <f>MIN(5,ROUNDUP(Tabelle14[[#This Row],[CO2 Normallisiert]]*2,0)/2)</f>
        <v>3</v>
      </c>
      <c r="G363" s="9">
        <v>320</v>
      </c>
      <c r="H363" s="6">
        <f>MAX(0,((Tabelle14[[#This Row],[Wasser / 100g]]^(1/3.5))*0.95)-2.08)</f>
        <v>2.8572002459157542</v>
      </c>
      <c r="I363" s="6">
        <f>MIN(5,ROUNDUP(Tabelle14[[#This Row],[Wasser Normallisiert]]*2,0)/2)</f>
        <v>3</v>
      </c>
    </row>
    <row r="364" spans="2:9" ht="15" customHeight="1" x14ac:dyDescent="0.25">
      <c r="B364" s="10">
        <v>362</v>
      </c>
      <c r="C364" s="12" t="s">
        <v>505</v>
      </c>
      <c r="D364" s="6">
        <v>155</v>
      </c>
      <c r="E364" s="6">
        <f>((Tabelle14[[#This Row],[CO2 /100g]]^(1/3.3))*0.9)-2.26</f>
        <v>1.889343487033833</v>
      </c>
      <c r="F364" s="7">
        <f>MIN(5,ROUNDUP(Tabelle14[[#This Row],[CO2 Normallisiert]]*2,0)/2)</f>
        <v>2</v>
      </c>
      <c r="G364" s="9">
        <v>107</v>
      </c>
      <c r="H364" s="6">
        <f>MAX(0,((Tabelle14[[#This Row],[Wasser / 100g]]^(1/3.5))*0.95)-2.08)</f>
        <v>1.5303353339291994</v>
      </c>
      <c r="I364" s="6">
        <f>MIN(5,ROUNDUP(Tabelle14[[#This Row],[Wasser Normallisiert]]*2,0)/2)</f>
        <v>2</v>
      </c>
    </row>
    <row r="365" spans="2:9" ht="15" customHeight="1" x14ac:dyDescent="0.25">
      <c r="B365" s="10">
        <v>363</v>
      </c>
      <c r="C365" s="12" t="s">
        <v>506</v>
      </c>
      <c r="D365" s="6">
        <v>185</v>
      </c>
      <c r="E365" s="6">
        <f>((Tabelle14[[#This Row],[CO2 /100g]]^(1/3.3))*0.9)-2.26</f>
        <v>2.1178839531959186</v>
      </c>
      <c r="F365" s="7">
        <f>MIN(5,ROUNDUP(Tabelle14[[#This Row],[CO2 Normallisiert]]*2,0)/2)</f>
        <v>2.5</v>
      </c>
      <c r="G365" s="9">
        <v>246</v>
      </c>
      <c r="H365" s="6">
        <f>MAX(0,((Tabelle14[[#This Row],[Wasser / 100g]]^(1/3.5))*0.95)-2.08)</f>
        <v>2.4998148567641012</v>
      </c>
      <c r="I365" s="6">
        <f>MIN(5,ROUNDUP(Tabelle14[[#This Row],[Wasser Normallisiert]]*2,0)/2)</f>
        <v>2.5</v>
      </c>
    </row>
    <row r="366" spans="2:9" ht="15" customHeight="1" x14ac:dyDescent="0.25">
      <c r="B366" s="10">
        <v>364</v>
      </c>
      <c r="C366" s="12" t="s">
        <v>507</v>
      </c>
      <c r="D366" s="6">
        <v>136</v>
      </c>
      <c r="E366" s="6">
        <f>((Tabelle14[[#This Row],[CO2 /100g]]^(1/3.3))*0.9)-2.26</f>
        <v>1.728131330792912</v>
      </c>
      <c r="F366" s="7">
        <f>MIN(5,ROUNDUP(Tabelle14[[#This Row],[CO2 Normallisiert]]*2,0)/2)</f>
        <v>2</v>
      </c>
      <c r="G366" s="9">
        <v>107</v>
      </c>
      <c r="H366" s="6">
        <f>MAX(0,((Tabelle14[[#This Row],[Wasser / 100g]]^(1/3.5))*0.95)-2.08)</f>
        <v>1.5303353339291994</v>
      </c>
      <c r="I366" s="6">
        <f>MIN(5,ROUNDUP(Tabelle14[[#This Row],[Wasser Normallisiert]]*2,0)/2)</f>
        <v>2</v>
      </c>
    </row>
    <row r="367" spans="2:9" ht="15" customHeight="1" x14ac:dyDescent="0.25">
      <c r="B367" s="10">
        <v>365</v>
      </c>
      <c r="C367" s="12" t="s">
        <v>508</v>
      </c>
      <c r="D367" s="6">
        <v>232</v>
      </c>
      <c r="E367" s="6">
        <f>((Tabelle14[[#This Row],[CO2 /100g]]^(1/3.3))*0.9)-2.26</f>
        <v>2.4287497101918039</v>
      </c>
      <c r="F367" s="7">
        <f>MIN(5,ROUNDUP(Tabelle14[[#This Row],[CO2 Normallisiert]]*2,0)/2)</f>
        <v>2.5</v>
      </c>
      <c r="G367" s="9">
        <v>295</v>
      </c>
      <c r="H367" s="6">
        <f>MAX(0,((Tabelle14[[#This Row],[Wasser / 100g]]^(1/3.5))*0.95)-2.08)</f>
        <v>2.7437749559963143</v>
      </c>
      <c r="I367" s="6">
        <f>MIN(5,ROUNDUP(Tabelle14[[#This Row],[Wasser Normallisiert]]*2,0)/2)</f>
        <v>3</v>
      </c>
    </row>
    <row r="368" spans="2:9" ht="15" customHeight="1" x14ac:dyDescent="0.25">
      <c r="B368" s="10">
        <v>366</v>
      </c>
      <c r="C368" s="12" t="s">
        <v>509</v>
      </c>
      <c r="D368" s="6">
        <v>101</v>
      </c>
      <c r="E368" s="6">
        <f>((Tabelle14[[#This Row],[CO2 /100g]]^(1/3.3))*0.9)-2.26</f>
        <v>1.3842874270404275</v>
      </c>
      <c r="F368" s="7">
        <f>MIN(5,ROUNDUP(Tabelle14[[#This Row],[CO2 Normallisiert]]*2,0)/2)</f>
        <v>1.5</v>
      </c>
      <c r="G368" s="9">
        <v>232</v>
      </c>
      <c r="H368" s="6">
        <f>MAX(0,((Tabelle14[[#This Row],[Wasser / 100g]]^(1/3.5))*0.95)-2.08)</f>
        <v>2.4237815270414442</v>
      </c>
      <c r="I368" s="6">
        <f>MIN(5,ROUNDUP(Tabelle14[[#This Row],[Wasser Normallisiert]]*2,0)/2)</f>
        <v>2.5</v>
      </c>
    </row>
    <row r="369" spans="2:9" ht="15" customHeight="1" x14ac:dyDescent="0.25">
      <c r="B369" s="10">
        <v>367</v>
      </c>
      <c r="C369" s="12" t="s">
        <v>510</v>
      </c>
      <c r="D369" s="6">
        <v>398</v>
      </c>
      <c r="E369" s="6">
        <f>((Tabelle14[[#This Row],[CO2 /100g]]^(1/3.3))*0.9)-2.26</f>
        <v>3.2618660162146318</v>
      </c>
      <c r="F369" s="7">
        <f>MIN(5,ROUNDUP(Tabelle14[[#This Row],[CO2 Normallisiert]]*2,0)/2)</f>
        <v>3.5</v>
      </c>
      <c r="G369" s="9">
        <v>430</v>
      </c>
      <c r="H369" s="6">
        <f>MAX(0,((Tabelle14[[#This Row],[Wasser / 100g]]^(1/3.5))*0.95)-2.08)</f>
        <v>3.2920885666189772</v>
      </c>
      <c r="I369" s="6">
        <f>MIN(5,ROUNDUP(Tabelle14[[#This Row],[Wasser Normallisiert]]*2,0)/2)</f>
        <v>3.5</v>
      </c>
    </row>
    <row r="370" spans="2:9" ht="15" customHeight="1" x14ac:dyDescent="0.25">
      <c r="B370" s="10">
        <v>368</v>
      </c>
      <c r="C370" s="12" t="s">
        <v>511</v>
      </c>
      <c r="D370" s="6">
        <v>184</v>
      </c>
      <c r="E370" s="6">
        <f>((Tabelle14[[#This Row],[CO2 /100g]]^(1/3.3))*0.9)-2.26</f>
        <v>2.1106994226658173</v>
      </c>
      <c r="F370" s="7">
        <f>MIN(5,ROUNDUP(Tabelle14[[#This Row],[CO2 Normallisiert]]*2,0)/2)</f>
        <v>2.5</v>
      </c>
      <c r="G370" s="9">
        <v>224</v>
      </c>
      <c r="H370" s="6">
        <f>MAX(0,((Tabelle14[[#This Row],[Wasser / 100g]]^(1/3.5))*0.95)-2.08)</f>
        <v>2.3788518129990841</v>
      </c>
      <c r="I370" s="6">
        <f>MIN(5,ROUNDUP(Tabelle14[[#This Row],[Wasser Normallisiert]]*2,0)/2)</f>
        <v>2.5</v>
      </c>
    </row>
    <row r="371" spans="2:9" ht="15" customHeight="1" x14ac:dyDescent="0.25">
      <c r="B371" s="10">
        <v>369</v>
      </c>
      <c r="C371" s="12" t="s">
        <v>512</v>
      </c>
      <c r="D371" s="6">
        <v>552</v>
      </c>
      <c r="E371" s="6">
        <f>((Tabelle14[[#This Row],[CO2 /100g]]^(1/3.3))*0.9)-2.26</f>
        <v>3.8372378795601314</v>
      </c>
      <c r="F371" s="7">
        <f>MIN(5,ROUNDUP(Tabelle14[[#This Row],[CO2 Normallisiert]]*2,0)/2)</f>
        <v>4</v>
      </c>
      <c r="G371" s="9">
        <v>496</v>
      </c>
      <c r="H371" s="6">
        <f>MAX(0,((Tabelle14[[#This Row],[Wasser / 100g]]^(1/3.5))*0.95)-2.08)</f>
        <v>3.5157876718939738</v>
      </c>
      <c r="I371" s="6">
        <f>MIN(5,ROUNDUP(Tabelle14[[#This Row],[Wasser Normallisiert]]*2,0)/2)</f>
        <v>4</v>
      </c>
    </row>
    <row r="372" spans="2:9" ht="15" customHeight="1" x14ac:dyDescent="0.25">
      <c r="B372" s="10">
        <v>370</v>
      </c>
      <c r="C372" s="12" t="s">
        <v>513</v>
      </c>
      <c r="D372" s="6">
        <v>330</v>
      </c>
      <c r="E372" s="6">
        <f>((Tabelle14[[#This Row],[CO2 /100g]]^(1/3.3))*0.9)-2.26</f>
        <v>2.9570926791790892</v>
      </c>
      <c r="F372" s="7">
        <f>MIN(5,ROUNDUP(Tabelle14[[#This Row],[CO2 Normallisiert]]*2,0)/2)</f>
        <v>3</v>
      </c>
      <c r="G372" s="9">
        <v>338</v>
      </c>
      <c r="H372" s="6">
        <f>MAX(0,((Tabelle14[[#This Row],[Wasser / 100g]]^(1/3.5))*0.95)-2.08)</f>
        <v>2.9350034247847114</v>
      </c>
      <c r="I372" s="6">
        <f>MIN(5,ROUNDUP(Tabelle14[[#This Row],[Wasser Normallisiert]]*2,0)/2)</f>
        <v>3</v>
      </c>
    </row>
    <row r="373" spans="2:9" ht="15" customHeight="1" x14ac:dyDescent="0.25">
      <c r="B373" s="10">
        <v>371</v>
      </c>
      <c r="C373" s="12" t="s">
        <v>514</v>
      </c>
      <c r="D373" s="6">
        <v>244</v>
      </c>
      <c r="E373" s="6">
        <f>((Tabelle14[[#This Row],[CO2 /100g]]^(1/3.3))*0.9)-2.26</f>
        <v>2.5009538530358695</v>
      </c>
      <c r="F373" s="7">
        <f>MIN(5,ROUNDUP(Tabelle14[[#This Row],[CO2 Normallisiert]]*2,0)/2)</f>
        <v>3</v>
      </c>
      <c r="G373" s="9">
        <v>339</v>
      </c>
      <c r="H373" s="6">
        <f>MAX(0,((Tabelle14[[#This Row],[Wasser / 100g]]^(1/3.5))*0.95)-2.08)</f>
        <v>2.9392381782369155</v>
      </c>
      <c r="I373" s="6">
        <f>MIN(5,ROUNDUP(Tabelle14[[#This Row],[Wasser Normallisiert]]*2,0)/2)</f>
        <v>3</v>
      </c>
    </row>
    <row r="374" spans="2:9" ht="15" customHeight="1" x14ac:dyDescent="0.25">
      <c r="B374" s="10">
        <v>372</v>
      </c>
      <c r="C374" s="12" t="s">
        <v>515</v>
      </c>
      <c r="D374" s="6">
        <v>65</v>
      </c>
      <c r="E374" s="6">
        <f>((Tabelle14[[#This Row],[CO2 /100g]]^(1/3.3))*0.9)-2.26</f>
        <v>0.92867453348211582</v>
      </c>
      <c r="F374" s="7">
        <f>MIN(5,ROUNDUP(Tabelle14[[#This Row],[CO2 Normallisiert]]*2,0)/2)</f>
        <v>1</v>
      </c>
      <c r="G374" s="9">
        <v>83</v>
      </c>
      <c r="H374" s="6">
        <f>MAX(0,((Tabelle14[[#This Row],[Wasser / 100g]]^(1/3.5))*0.95)-2.08)</f>
        <v>1.2776206846158975</v>
      </c>
      <c r="I374" s="6">
        <f>MIN(5,ROUNDUP(Tabelle14[[#This Row],[Wasser Normallisiert]]*2,0)/2)</f>
        <v>1.5</v>
      </c>
    </row>
    <row r="375" spans="2:9" ht="15" customHeight="1" x14ac:dyDescent="0.25">
      <c r="B375" s="10">
        <v>373</v>
      </c>
      <c r="C375" s="12" t="s">
        <v>516</v>
      </c>
      <c r="D375" s="6">
        <v>350</v>
      </c>
      <c r="E375" s="6">
        <f>((Tabelle14[[#This Row],[CO2 /100g]]^(1/3.3))*0.9)-2.26</f>
        <v>3.0509500865871004</v>
      </c>
      <c r="F375" s="7">
        <f>MIN(5,ROUNDUP(Tabelle14[[#This Row],[CO2 Normallisiert]]*2,0)/2)</f>
        <v>3.5</v>
      </c>
      <c r="G375" s="9">
        <v>448</v>
      </c>
      <c r="H375" s="6">
        <f>MAX(0,((Tabelle14[[#This Row],[Wasser / 100g]]^(1/3.5))*0.95)-2.08)</f>
        <v>3.3554012421202639</v>
      </c>
      <c r="I375" s="6">
        <f>MIN(5,ROUNDUP(Tabelle14[[#This Row],[Wasser Normallisiert]]*2,0)/2)</f>
        <v>3.5</v>
      </c>
    </row>
    <row r="376" spans="2:9" ht="15" customHeight="1" x14ac:dyDescent="0.25">
      <c r="B376" s="10">
        <v>374</v>
      </c>
      <c r="C376" s="12" t="s">
        <v>517</v>
      </c>
      <c r="D376" s="6">
        <v>433</v>
      </c>
      <c r="E376" s="6">
        <f>((Tabelle14[[#This Row],[CO2 /100g]]^(1/3.3))*0.9)-2.26</f>
        <v>3.4047172283645812</v>
      </c>
      <c r="F376" s="7">
        <f>MIN(5,ROUNDUP(Tabelle14[[#This Row],[CO2 Normallisiert]]*2,0)/2)</f>
        <v>3.5</v>
      </c>
      <c r="G376" s="9">
        <v>308</v>
      </c>
      <c r="H376" s="6">
        <f>MAX(0,((Tabelle14[[#This Row],[Wasser / 100g]]^(1/3.5))*0.95)-2.08)</f>
        <v>2.8035776300561137</v>
      </c>
      <c r="I376" s="6">
        <f>MIN(5,ROUNDUP(Tabelle14[[#This Row],[Wasser Normallisiert]]*2,0)/2)</f>
        <v>3</v>
      </c>
    </row>
    <row r="377" spans="2:9" ht="15" customHeight="1" x14ac:dyDescent="0.25">
      <c r="B377" s="10">
        <v>375</v>
      </c>
      <c r="C377" s="12" t="s">
        <v>518</v>
      </c>
      <c r="D377" s="6">
        <v>38</v>
      </c>
      <c r="E377" s="6">
        <f>((Tabelle14[[#This Row],[CO2 /100g]]^(1/3.3))*0.9)-2.26</f>
        <v>0.44997204847593819</v>
      </c>
      <c r="F377" s="7">
        <f>MIN(5,ROUNDUP(Tabelle14[[#This Row],[CO2 Normallisiert]]*2,0)/2)</f>
        <v>0.5</v>
      </c>
      <c r="G377" s="9">
        <v>91</v>
      </c>
      <c r="H377" s="6">
        <f>MAX(0,((Tabelle14[[#This Row],[Wasser / 100g]]^(1/3.5))*0.95)-2.08)</f>
        <v>1.3670669411820646</v>
      </c>
      <c r="I377" s="6">
        <f>MIN(5,ROUNDUP(Tabelle14[[#This Row],[Wasser Normallisiert]]*2,0)/2)</f>
        <v>1.5</v>
      </c>
    </row>
    <row r="378" spans="2:9" ht="15" customHeight="1" x14ac:dyDescent="0.25">
      <c r="B378" s="10">
        <v>376</v>
      </c>
      <c r="C378" s="12" t="s">
        <v>519</v>
      </c>
      <c r="D378" s="6">
        <v>1140</v>
      </c>
      <c r="E378" s="6">
        <f>((Tabelle14[[#This Row],[CO2 /100g]]^(1/3.3))*0.9)-2.26</f>
        <v>5.3358663184417097</v>
      </c>
      <c r="F378" s="7">
        <f>MIN(5,ROUNDUP(Tabelle14[[#This Row],[CO2 Normallisiert]]*2,0)/2)</f>
        <v>5</v>
      </c>
      <c r="G378" s="9">
        <v>836</v>
      </c>
      <c r="H378" s="6">
        <f>MAX(0,((Tabelle14[[#This Row],[Wasser / 100g]]^(1/3.5))*0.95)-2.08)</f>
        <v>4.4159052940595362</v>
      </c>
      <c r="I378" s="6">
        <f>MIN(5,ROUNDUP(Tabelle14[[#This Row],[Wasser Normallisiert]]*2,0)/2)</f>
        <v>4.5</v>
      </c>
    </row>
    <row r="379" spans="2:9" ht="15" customHeight="1" x14ac:dyDescent="0.25">
      <c r="B379" s="10">
        <v>377</v>
      </c>
      <c r="C379" s="12" t="s">
        <v>520</v>
      </c>
      <c r="D379" s="6">
        <v>131</v>
      </c>
      <c r="E379" s="6">
        <f>((Tabelle14[[#This Row],[CO2 /100g]]^(1/3.3))*0.9)-2.26</f>
        <v>1.6831188896649083</v>
      </c>
      <c r="F379" s="7">
        <f>MIN(5,ROUNDUP(Tabelle14[[#This Row],[CO2 Normallisiert]]*2,0)/2)</f>
        <v>2</v>
      </c>
      <c r="G379" s="9">
        <v>177</v>
      </c>
      <c r="H379" s="6">
        <f>MAX(0,((Tabelle14[[#This Row],[Wasser / 100g]]^(1/3.5))*0.95)-2.08)</f>
        <v>2.0887099740356403</v>
      </c>
      <c r="I379" s="6">
        <f>MIN(5,ROUNDUP(Tabelle14[[#This Row],[Wasser Normallisiert]]*2,0)/2)</f>
        <v>2.5</v>
      </c>
    </row>
    <row r="380" spans="2:9" ht="15" customHeight="1" x14ac:dyDescent="0.25">
      <c r="B380" s="10">
        <v>378</v>
      </c>
      <c r="C380" s="12" t="s">
        <v>521</v>
      </c>
      <c r="D380" s="6">
        <v>510</v>
      </c>
      <c r="E380" s="6">
        <f>((Tabelle14[[#This Row],[CO2 /100g]]^(1/3.3))*0.9)-2.26</f>
        <v>3.6927592750764449</v>
      </c>
      <c r="F380" s="7">
        <f>MIN(5,ROUNDUP(Tabelle14[[#This Row],[CO2 Normallisiert]]*2,0)/2)</f>
        <v>4</v>
      </c>
      <c r="G380" s="9">
        <v>586</v>
      </c>
      <c r="H380" s="6">
        <f>MAX(0,((Tabelle14[[#This Row],[Wasser / 100g]]^(1/3.5))*0.95)-2.08)</f>
        <v>3.7888295393892548</v>
      </c>
      <c r="I380" s="6">
        <f>MIN(5,ROUNDUP(Tabelle14[[#This Row],[Wasser Normallisiert]]*2,0)/2)</f>
        <v>4</v>
      </c>
    </row>
    <row r="381" spans="2:9" ht="15" customHeight="1" x14ac:dyDescent="0.25">
      <c r="B381" s="10">
        <v>379</v>
      </c>
      <c r="C381" s="12" t="s">
        <v>522</v>
      </c>
      <c r="D381" s="6">
        <v>90</v>
      </c>
      <c r="E381" s="6">
        <f>((Tabelle14[[#This Row],[CO2 /100g]]^(1/3.3))*0.9)-2.26</f>
        <v>1.2591453869044642</v>
      </c>
      <c r="F381" s="7">
        <f>MIN(5,ROUNDUP(Tabelle14[[#This Row],[CO2 Normallisiert]]*2,0)/2)</f>
        <v>1.5</v>
      </c>
      <c r="G381" s="9">
        <v>48</v>
      </c>
      <c r="H381" s="6">
        <f>MAX(0,((Tabelle14[[#This Row],[Wasser / 100g]]^(1/3.5))*0.95)-2.08)</f>
        <v>0.79129784196786579</v>
      </c>
      <c r="I381" s="6">
        <f>MIN(5,ROUNDUP(Tabelle14[[#This Row],[Wasser Normallisiert]]*2,0)/2)</f>
        <v>1</v>
      </c>
    </row>
    <row r="382" spans="2:9" ht="15" customHeight="1" x14ac:dyDescent="0.25">
      <c r="B382" s="10">
        <v>380</v>
      </c>
      <c r="C382" s="12" t="s">
        <v>231</v>
      </c>
      <c r="D382" s="6">
        <v>123</v>
      </c>
      <c r="E382" s="6">
        <f>((Tabelle14[[#This Row],[CO2 /100g]]^(1/3.3))*0.9)-2.26</f>
        <v>1.6085399725697687</v>
      </c>
      <c r="F382" s="7">
        <f>MIN(5,ROUNDUP(Tabelle14[[#This Row],[CO2 Normallisiert]]*2,0)/2)</f>
        <v>2</v>
      </c>
      <c r="G382" s="9">
        <v>114</v>
      </c>
      <c r="H382" s="6">
        <f>MAX(0,((Tabelle14[[#This Row],[Wasser / 100g]]^(1/3.5))*0.95)-2.08)</f>
        <v>1.596297980561042</v>
      </c>
      <c r="I382" s="6">
        <f>MIN(5,ROUNDUP(Tabelle14[[#This Row],[Wasser Normallisiert]]*2,0)/2)</f>
        <v>2</v>
      </c>
    </row>
    <row r="383" spans="2:9" ht="15" customHeight="1" x14ac:dyDescent="0.25">
      <c r="B383" s="10">
        <v>381</v>
      </c>
      <c r="C383" s="12" t="s">
        <v>523</v>
      </c>
      <c r="D383" s="6">
        <v>443</v>
      </c>
      <c r="E383" s="6">
        <f>((Tabelle14[[#This Row],[CO2 /100g]]^(1/3.3))*0.9)-2.26</f>
        <v>3.4440461751121578</v>
      </c>
      <c r="F383" s="7">
        <f>MIN(5,ROUNDUP(Tabelle14[[#This Row],[CO2 Normallisiert]]*2,0)/2)</f>
        <v>3.5</v>
      </c>
      <c r="G383" s="9">
        <v>93</v>
      </c>
      <c r="H383" s="6">
        <f>MAX(0,((Tabelle14[[#This Row],[Wasser / 100g]]^(1/3.5))*0.95)-2.08)</f>
        <v>1.3885447730204259</v>
      </c>
      <c r="I383" s="6">
        <f>MIN(5,ROUNDUP(Tabelle14[[#This Row],[Wasser Normallisiert]]*2,0)/2)</f>
        <v>1.5</v>
      </c>
    </row>
    <row r="384" spans="2:9" ht="15" customHeight="1" x14ac:dyDescent="0.25">
      <c r="B384" s="10">
        <v>382</v>
      </c>
      <c r="C384" s="12" t="s">
        <v>524</v>
      </c>
      <c r="D384" s="6">
        <v>143</v>
      </c>
      <c r="E384" s="6">
        <f>((Tabelle14[[#This Row],[CO2 /100g]]^(1/3.3))*0.9)-2.26</f>
        <v>1.7892504768307056</v>
      </c>
      <c r="F384" s="7">
        <f>MIN(5,ROUNDUP(Tabelle14[[#This Row],[CO2 Normallisiert]]*2,0)/2)</f>
        <v>2</v>
      </c>
      <c r="G384" s="9">
        <v>114</v>
      </c>
      <c r="H384" s="6">
        <f>MAX(0,((Tabelle14[[#This Row],[Wasser / 100g]]^(1/3.5))*0.95)-2.08)</f>
        <v>1.596297980561042</v>
      </c>
      <c r="I384" s="6">
        <f>MIN(5,ROUNDUP(Tabelle14[[#This Row],[Wasser Normallisiert]]*2,0)/2)</f>
        <v>2</v>
      </c>
    </row>
    <row r="385" spans="2:9" ht="15" customHeight="1" x14ac:dyDescent="0.25">
      <c r="B385" s="10">
        <v>383</v>
      </c>
      <c r="C385" s="12" t="s">
        <v>525</v>
      </c>
      <c r="D385" s="6">
        <v>153</v>
      </c>
      <c r="E385" s="6">
        <f>((Tabelle14[[#This Row],[CO2 /100g]]^(1/3.3))*0.9)-2.26</f>
        <v>1.8730457794580255</v>
      </c>
      <c r="F385" s="7">
        <f>MIN(5,ROUNDUP(Tabelle14[[#This Row],[CO2 Normallisiert]]*2,0)/2)</f>
        <v>2</v>
      </c>
      <c r="G385" s="9">
        <v>135</v>
      </c>
      <c r="H385" s="6">
        <f>MAX(0,((Tabelle14[[#This Row],[Wasser / 100g]]^(1/3.5))*0.95)-2.08)</f>
        <v>1.77825027921185</v>
      </c>
      <c r="I385" s="6">
        <f>MIN(5,ROUNDUP(Tabelle14[[#This Row],[Wasser Normallisiert]]*2,0)/2)</f>
        <v>2</v>
      </c>
    </row>
    <row r="386" spans="2:9" ht="15" customHeight="1" x14ac:dyDescent="0.25">
      <c r="B386" s="10">
        <v>384</v>
      </c>
      <c r="C386" s="12" t="s">
        <v>526</v>
      </c>
      <c r="D386" s="6">
        <v>81</v>
      </c>
      <c r="E386" s="6">
        <f>((Tabelle14[[#This Row],[CO2 /100g]]^(1/3.3))*0.9)-2.26</f>
        <v>1.1485628243914392</v>
      </c>
      <c r="F386" s="7">
        <f>MIN(5,ROUNDUP(Tabelle14[[#This Row],[CO2 Normallisiert]]*2,0)/2)</f>
        <v>1.5</v>
      </c>
      <c r="G386" s="9">
        <v>98</v>
      </c>
      <c r="H386" s="6">
        <f>MAX(0,((Tabelle14[[#This Row],[Wasser / 100g]]^(1/3.5))*0.95)-2.08)</f>
        <v>1.4408323115484225</v>
      </c>
      <c r="I386" s="6">
        <f>MIN(5,ROUNDUP(Tabelle14[[#This Row],[Wasser Normallisiert]]*2,0)/2)</f>
        <v>1.5</v>
      </c>
    </row>
    <row r="387" spans="2:9" ht="15" customHeight="1" x14ac:dyDescent="0.25">
      <c r="B387" s="10">
        <v>385</v>
      </c>
      <c r="C387" s="12" t="s">
        <v>527</v>
      </c>
      <c r="D387" s="6">
        <v>225</v>
      </c>
      <c r="E387" s="6">
        <f>((Tabelle14[[#This Row],[CO2 /100g]]^(1/3.3))*0.9)-2.26</f>
        <v>2.385421126422993</v>
      </c>
      <c r="F387" s="7">
        <f>MIN(5,ROUNDUP(Tabelle14[[#This Row],[CO2 Normallisiert]]*2,0)/2)</f>
        <v>2.5</v>
      </c>
      <c r="G387" s="9">
        <v>162</v>
      </c>
      <c r="H387" s="6">
        <f>MAX(0,((Tabelle14[[#This Row],[Wasser / 100g]]^(1/3.5))*0.95)-2.08)</f>
        <v>1.9845606603980279</v>
      </c>
      <c r="I387" s="6">
        <f>MIN(5,ROUNDUP(Tabelle14[[#This Row],[Wasser Normallisiert]]*2,0)/2)</f>
        <v>2</v>
      </c>
    </row>
    <row r="388" spans="2:9" ht="15" customHeight="1" x14ac:dyDescent="0.25">
      <c r="B388" s="10">
        <v>386</v>
      </c>
      <c r="C388" s="12" t="s">
        <v>528</v>
      </c>
      <c r="D388" s="6">
        <v>214</v>
      </c>
      <c r="E388" s="6">
        <f>((Tabelle14[[#This Row],[CO2 /100g]]^(1/3.3))*0.9)-2.26</f>
        <v>2.3153940319804134</v>
      </c>
      <c r="F388" s="7">
        <f>MIN(5,ROUNDUP(Tabelle14[[#This Row],[CO2 Normallisiert]]*2,0)/2)</f>
        <v>2.5</v>
      </c>
      <c r="G388" s="9">
        <v>231</v>
      </c>
      <c r="H388" s="6">
        <f>MAX(0,((Tabelle14[[#This Row],[Wasser / 100g]]^(1/3.5))*0.95)-2.08)</f>
        <v>2.4182264385991799</v>
      </c>
      <c r="I388" s="6">
        <f>MIN(5,ROUNDUP(Tabelle14[[#This Row],[Wasser Normallisiert]]*2,0)/2)</f>
        <v>2.5</v>
      </c>
    </row>
    <row r="389" spans="2:9" ht="15" customHeight="1" x14ac:dyDescent="0.25">
      <c r="B389" s="10">
        <v>387</v>
      </c>
      <c r="C389" s="12" t="s">
        <v>529</v>
      </c>
      <c r="D389" s="6">
        <v>220</v>
      </c>
      <c r="E389" s="6">
        <f>((Tabelle14[[#This Row],[CO2 /100g]]^(1/3.3))*0.9)-2.26</f>
        <v>2.353893484245063</v>
      </c>
      <c r="F389" s="7">
        <f>MIN(5,ROUNDUP(Tabelle14[[#This Row],[CO2 Normallisiert]]*2,0)/2)</f>
        <v>2.5</v>
      </c>
      <c r="G389" s="9">
        <v>230</v>
      </c>
      <c r="H389" s="6">
        <f>MAX(0,((Tabelle14[[#This Row],[Wasser / 100g]]^(1/3.5))*0.95)-2.08)</f>
        <v>2.4126541463551412</v>
      </c>
      <c r="I389" s="6">
        <f>MIN(5,ROUNDUP(Tabelle14[[#This Row],[Wasser Normallisiert]]*2,0)/2)</f>
        <v>2.5</v>
      </c>
    </row>
    <row r="390" spans="2:9" ht="15" customHeight="1" x14ac:dyDescent="0.25">
      <c r="B390" s="10">
        <v>388</v>
      </c>
      <c r="C390" s="12" t="s">
        <v>530</v>
      </c>
      <c r="D390" s="6">
        <v>214</v>
      </c>
      <c r="E390" s="6">
        <f>((Tabelle14[[#This Row],[CO2 /100g]]^(1/3.3))*0.9)-2.26</f>
        <v>2.3153940319804134</v>
      </c>
      <c r="F390" s="7">
        <f>MIN(5,ROUNDUP(Tabelle14[[#This Row],[CO2 Normallisiert]]*2,0)/2)</f>
        <v>2.5</v>
      </c>
      <c r="G390" s="9">
        <v>167</v>
      </c>
      <c r="H390" s="6">
        <f>MAX(0,((Tabelle14[[#This Row],[Wasser / 100g]]^(1/3.5))*0.95)-2.08)</f>
        <v>2.0200150810863322</v>
      </c>
      <c r="I390" s="6">
        <f>MIN(5,ROUNDUP(Tabelle14[[#This Row],[Wasser Normallisiert]]*2,0)/2)</f>
        <v>2.5</v>
      </c>
    </row>
    <row r="391" spans="2:9" ht="15" customHeight="1" x14ac:dyDescent="0.25">
      <c r="B391" s="10">
        <v>389</v>
      </c>
      <c r="C391" s="12" t="s">
        <v>531</v>
      </c>
      <c r="D391" s="6">
        <v>320</v>
      </c>
      <c r="E391" s="6">
        <f>((Tabelle14[[#This Row],[CO2 /100g]]^(1/3.3))*0.9)-2.26</f>
        <v>2.9086707320569936</v>
      </c>
      <c r="F391" s="7">
        <f>MIN(5,ROUNDUP(Tabelle14[[#This Row],[CO2 Normallisiert]]*2,0)/2)</f>
        <v>3</v>
      </c>
      <c r="G391" s="9">
        <v>223</v>
      </c>
      <c r="H391" s="6">
        <f>MAX(0,((Tabelle14[[#This Row],[Wasser / 100g]]^(1/3.5))*0.95)-2.08)</f>
        <v>2.373155411031723</v>
      </c>
      <c r="I391" s="6">
        <f>MIN(5,ROUNDUP(Tabelle14[[#This Row],[Wasser Normallisiert]]*2,0)/2)</f>
        <v>2.5</v>
      </c>
    </row>
    <row r="392" spans="2:9" ht="15" customHeight="1" x14ac:dyDescent="0.25">
      <c r="B392" s="10">
        <v>390</v>
      </c>
      <c r="C392" s="12" t="s">
        <v>532</v>
      </c>
      <c r="D392" s="6">
        <v>225</v>
      </c>
      <c r="E392" s="6">
        <f>((Tabelle14[[#This Row],[CO2 /100g]]^(1/3.3))*0.9)-2.26</f>
        <v>2.385421126422993</v>
      </c>
      <c r="F392" s="7">
        <f>MIN(5,ROUNDUP(Tabelle14[[#This Row],[CO2 Normallisiert]]*2,0)/2)</f>
        <v>2.5</v>
      </c>
      <c r="G392" s="9">
        <v>291</v>
      </c>
      <c r="H392" s="6">
        <f>MAX(0,((Tabelle14[[#This Row],[Wasser / 100g]]^(1/3.5))*0.95)-2.08)</f>
        <v>2.7249960027045486</v>
      </c>
      <c r="I392" s="6">
        <f>MIN(5,ROUNDUP(Tabelle14[[#This Row],[Wasser Normallisiert]]*2,0)/2)</f>
        <v>3</v>
      </c>
    </row>
    <row r="393" spans="2:9" ht="15" customHeight="1" x14ac:dyDescent="0.25">
      <c r="B393" s="10">
        <v>391</v>
      </c>
      <c r="C393" s="12" t="s">
        <v>533</v>
      </c>
      <c r="D393" s="6">
        <v>908</v>
      </c>
      <c r="E393" s="6">
        <f>((Tabelle14[[#This Row],[CO2 /100g]]^(1/3.3))*0.9)-2.26</f>
        <v>4.8297702300045016</v>
      </c>
      <c r="F393" s="7">
        <f>MIN(5,ROUNDUP(Tabelle14[[#This Row],[CO2 Normallisiert]]*2,0)/2)</f>
        <v>5</v>
      </c>
      <c r="G393" s="9">
        <v>553</v>
      </c>
      <c r="H393" s="6">
        <f>MAX(0,((Tabelle14[[#This Row],[Wasser / 100g]]^(1/3.5))*0.95)-2.08)</f>
        <v>3.6924390646622536</v>
      </c>
      <c r="I393" s="6">
        <f>MIN(5,ROUNDUP(Tabelle14[[#This Row],[Wasser Normallisiert]]*2,0)/2)</f>
        <v>4</v>
      </c>
    </row>
    <row r="394" spans="2:9" ht="15" customHeight="1" x14ac:dyDescent="0.25">
      <c r="B394" s="10">
        <v>392</v>
      </c>
      <c r="C394" s="12" t="s">
        <v>534</v>
      </c>
      <c r="D394" s="6">
        <v>419</v>
      </c>
      <c r="E394" s="6">
        <f>((Tabelle14[[#This Row],[CO2 /100g]]^(1/3.3))*0.9)-2.26</f>
        <v>3.3485787145088342</v>
      </c>
      <c r="F394" s="7">
        <f>MIN(5,ROUNDUP(Tabelle14[[#This Row],[CO2 Normallisiert]]*2,0)/2)</f>
        <v>3.5</v>
      </c>
      <c r="G394" s="9">
        <v>101</v>
      </c>
      <c r="H394" s="6">
        <f>MAX(0,((Tabelle14[[#This Row],[Wasser / 100g]]^(1/3.5))*0.95)-2.08)</f>
        <v>1.4712958589397838</v>
      </c>
      <c r="I394" s="6">
        <f>MIN(5,ROUNDUP(Tabelle14[[#This Row],[Wasser Normallisiert]]*2,0)/2)</f>
        <v>1.5</v>
      </c>
    </row>
    <row r="395" spans="2:9" ht="15" customHeight="1" x14ac:dyDescent="0.25">
      <c r="B395" s="10">
        <v>393</v>
      </c>
      <c r="C395" s="12" t="s">
        <v>535</v>
      </c>
      <c r="D395" s="6">
        <v>267</v>
      </c>
      <c r="E395" s="6">
        <f>((Tabelle14[[#This Row],[CO2 /100g]]^(1/3.3))*0.9)-2.26</f>
        <v>2.632704110133985</v>
      </c>
      <c r="F395" s="7">
        <f>MIN(5,ROUNDUP(Tabelle14[[#This Row],[CO2 Normallisiert]]*2,0)/2)</f>
        <v>3</v>
      </c>
      <c r="G395" s="9">
        <v>320</v>
      </c>
      <c r="H395" s="6">
        <f>MAX(0,((Tabelle14[[#This Row],[Wasser / 100g]]^(1/3.5))*0.95)-2.08)</f>
        <v>2.8572002459157542</v>
      </c>
      <c r="I395" s="6">
        <f>MIN(5,ROUNDUP(Tabelle14[[#This Row],[Wasser Normallisiert]]*2,0)/2)</f>
        <v>3</v>
      </c>
    </row>
    <row r="396" spans="2:9" ht="15" customHeight="1" x14ac:dyDescent="0.25">
      <c r="B396" s="10">
        <v>394</v>
      </c>
      <c r="C396" s="12" t="s">
        <v>536</v>
      </c>
      <c r="D396" s="6">
        <v>495</v>
      </c>
      <c r="E396" s="6">
        <f>((Tabelle14[[#This Row],[CO2 /100g]]^(1/3.3))*0.9)-2.26</f>
        <v>3.6391513601440542</v>
      </c>
      <c r="F396" s="7">
        <f>MIN(5,ROUNDUP(Tabelle14[[#This Row],[CO2 Normallisiert]]*2,0)/2)</f>
        <v>4</v>
      </c>
      <c r="G396" s="9">
        <v>620</v>
      </c>
      <c r="H396" s="6">
        <f>MAX(0,((Tabelle14[[#This Row],[Wasser / 100g]]^(1/3.5))*0.95)-2.08)</f>
        <v>3.884167094065579</v>
      </c>
      <c r="I396" s="6">
        <f>MIN(5,ROUNDUP(Tabelle14[[#This Row],[Wasser Normallisiert]]*2,0)/2)</f>
        <v>4</v>
      </c>
    </row>
    <row r="397" spans="2:9" ht="15" customHeight="1" x14ac:dyDescent="0.25">
      <c r="B397" s="10">
        <v>395</v>
      </c>
      <c r="C397" s="12" t="s">
        <v>537</v>
      </c>
      <c r="D397" s="6">
        <v>244</v>
      </c>
      <c r="E397" s="6">
        <f>((Tabelle14[[#This Row],[CO2 /100g]]^(1/3.3))*0.9)-2.26</f>
        <v>2.5009538530358695</v>
      </c>
      <c r="F397" s="7">
        <f>MIN(5,ROUNDUP(Tabelle14[[#This Row],[CO2 Normallisiert]]*2,0)/2)</f>
        <v>3</v>
      </c>
      <c r="G397" s="9">
        <v>212</v>
      </c>
      <c r="H397" s="6">
        <f>MAX(0,((Tabelle14[[#This Row],[Wasser / 100g]]^(1/3.5))*0.95)-2.08)</f>
        <v>2.3092568352971288</v>
      </c>
      <c r="I397" s="6">
        <f>MIN(5,ROUNDUP(Tabelle14[[#This Row],[Wasser Normallisiert]]*2,0)/2)</f>
        <v>2.5</v>
      </c>
    </row>
    <row r="398" spans="2:9" ht="15" customHeight="1" x14ac:dyDescent="0.25">
      <c r="B398" s="10">
        <v>396</v>
      </c>
      <c r="C398" s="12" t="s">
        <v>538</v>
      </c>
      <c r="D398" s="6">
        <v>64</v>
      </c>
      <c r="E398" s="6">
        <f>((Tabelle14[[#This Row],[CO2 /100g]]^(1/3.3))*0.9)-2.26</f>
        <v>0.913728517985676</v>
      </c>
      <c r="F398" s="7">
        <f>MIN(5,ROUNDUP(Tabelle14[[#This Row],[CO2 Normallisiert]]*2,0)/2)</f>
        <v>1</v>
      </c>
      <c r="G398" s="9">
        <v>109</v>
      </c>
      <c r="H398" s="6">
        <f>MAX(0,((Tabelle14[[#This Row],[Wasser / 100g]]^(1/3.5))*0.95)-2.08)</f>
        <v>1.5494888105519129</v>
      </c>
      <c r="I398" s="6">
        <f>MIN(5,ROUNDUP(Tabelle14[[#This Row],[Wasser Normallisiert]]*2,0)/2)</f>
        <v>2</v>
      </c>
    </row>
    <row r="399" spans="2:9" ht="15" customHeight="1" x14ac:dyDescent="0.25">
      <c r="B399" s="10">
        <v>397</v>
      </c>
      <c r="C399" s="12" t="s">
        <v>539</v>
      </c>
      <c r="D399" s="6">
        <v>219</v>
      </c>
      <c r="E399" s="6">
        <f>((Tabelle14[[#This Row],[CO2 /100g]]^(1/3.3))*0.9)-2.26</f>
        <v>2.3475281662803464</v>
      </c>
      <c r="F399" s="7">
        <f>MIN(5,ROUNDUP(Tabelle14[[#This Row],[CO2 Normallisiert]]*2,0)/2)</f>
        <v>2.5</v>
      </c>
      <c r="G399" s="9">
        <v>206</v>
      </c>
      <c r="H399" s="6">
        <f>MAX(0,((Tabelle14[[#This Row],[Wasser / 100g]]^(1/3.5))*0.95)-2.08)</f>
        <v>2.273399523536634</v>
      </c>
      <c r="I399" s="6">
        <f>MIN(5,ROUNDUP(Tabelle14[[#This Row],[Wasser Normallisiert]]*2,0)/2)</f>
        <v>2.5</v>
      </c>
    </row>
    <row r="400" spans="2:9" ht="15" customHeight="1" x14ac:dyDescent="0.25">
      <c r="B400" s="10">
        <v>398</v>
      </c>
      <c r="C400" s="12" t="s">
        <v>540</v>
      </c>
      <c r="D400" s="6">
        <v>490</v>
      </c>
      <c r="E400" s="6">
        <f>((Tabelle14[[#This Row],[CO2 /100g]]^(1/3.3))*0.9)-2.26</f>
        <v>3.6210306496367677</v>
      </c>
      <c r="F400" s="7">
        <f>MIN(5,ROUNDUP(Tabelle14[[#This Row],[CO2 Normallisiert]]*2,0)/2)</f>
        <v>4</v>
      </c>
      <c r="G400" s="9">
        <v>663</v>
      </c>
      <c r="H400" s="6">
        <f>MAX(0,((Tabelle14[[#This Row],[Wasser / 100g]]^(1/3.5))*0.95)-2.08)</f>
        <v>3.9995345050631625</v>
      </c>
      <c r="I400" s="6">
        <f>MIN(5,ROUNDUP(Tabelle14[[#This Row],[Wasser Normallisiert]]*2,0)/2)</f>
        <v>4</v>
      </c>
    </row>
    <row r="401" spans="2:9" ht="15" customHeight="1" x14ac:dyDescent="0.25">
      <c r="B401" s="10">
        <v>399</v>
      </c>
      <c r="C401" s="12" t="s">
        <v>541</v>
      </c>
      <c r="D401" s="6">
        <v>309</v>
      </c>
      <c r="E401" s="6">
        <f>((Tabelle14[[#This Row],[CO2 /100g]]^(1/3.3))*0.9)-2.26</f>
        <v>2.8541726105777867</v>
      </c>
      <c r="F401" s="7">
        <f>MIN(5,ROUNDUP(Tabelle14[[#This Row],[CO2 Normallisiert]]*2,0)/2)</f>
        <v>3</v>
      </c>
      <c r="G401" s="9">
        <v>337</v>
      </c>
      <c r="H401" s="6">
        <f>MAX(0,((Tabelle14[[#This Row],[Wasser / 100g]]^(1/3.5))*0.95)-2.08)</f>
        <v>2.93075971266894</v>
      </c>
      <c r="I401" s="6">
        <f>MIN(5,ROUNDUP(Tabelle14[[#This Row],[Wasser Normallisiert]]*2,0)/2)</f>
        <v>3</v>
      </c>
    </row>
    <row r="402" spans="2:9" ht="15" customHeight="1" x14ac:dyDescent="0.25">
      <c r="B402" s="10">
        <v>400</v>
      </c>
      <c r="C402" s="12" t="s">
        <v>542</v>
      </c>
      <c r="D402" s="6">
        <v>137</v>
      </c>
      <c r="E402" s="6">
        <f>((Tabelle14[[#This Row],[CO2 /100g]]^(1/3.3))*0.9)-2.26</f>
        <v>1.7369948657368668</v>
      </c>
      <c r="F402" s="7">
        <f>MIN(5,ROUNDUP(Tabelle14[[#This Row],[CO2 Normallisiert]]*2,0)/2)</f>
        <v>2</v>
      </c>
      <c r="G402" s="9">
        <v>228</v>
      </c>
      <c r="H402" s="6">
        <f>MAX(0,((Tabelle14[[#This Row],[Wasser / 100g]]^(1/3.5))*0.95)-2.08)</f>
        <v>2.4014574352282496</v>
      </c>
      <c r="I402" s="6">
        <f>MIN(5,ROUNDUP(Tabelle14[[#This Row],[Wasser Normallisiert]]*2,0)/2)</f>
        <v>2.5</v>
      </c>
    </row>
    <row r="403" spans="2:9" ht="15" customHeight="1" x14ac:dyDescent="0.25">
      <c r="B403" s="10">
        <v>401</v>
      </c>
      <c r="C403" s="12" t="s">
        <v>543</v>
      </c>
      <c r="D403" s="6">
        <v>323</v>
      </c>
      <c r="E403" s="6">
        <f>((Tabelle14[[#This Row],[CO2 /100g]]^(1/3.3))*0.9)-2.26</f>
        <v>2.9233067361369915</v>
      </c>
      <c r="F403" s="7">
        <f>MIN(5,ROUNDUP(Tabelle14[[#This Row],[CO2 Normallisiert]]*2,0)/2)</f>
        <v>3</v>
      </c>
      <c r="G403" s="9">
        <v>442</v>
      </c>
      <c r="H403" s="6">
        <f>MAX(0,((Tabelle14[[#This Row],[Wasser / 100g]]^(1/3.5))*0.95)-2.08)</f>
        <v>3.3345022608160217</v>
      </c>
      <c r="I403" s="6">
        <f>MIN(5,ROUNDUP(Tabelle14[[#This Row],[Wasser Normallisiert]]*2,0)/2)</f>
        <v>3.5</v>
      </c>
    </row>
    <row r="404" spans="2:9" ht="15" customHeight="1" x14ac:dyDescent="0.25">
      <c r="B404" s="10">
        <v>402</v>
      </c>
      <c r="C404" s="12" t="s">
        <v>544</v>
      </c>
      <c r="D404" s="6">
        <v>137</v>
      </c>
      <c r="E404" s="6">
        <f>((Tabelle14[[#This Row],[CO2 /100g]]^(1/3.3))*0.9)-2.26</f>
        <v>1.7369948657368668</v>
      </c>
      <c r="F404" s="7">
        <f>MIN(5,ROUNDUP(Tabelle14[[#This Row],[CO2 Normallisiert]]*2,0)/2)</f>
        <v>2</v>
      </c>
      <c r="G404" s="9">
        <v>240</v>
      </c>
      <c r="H404" s="6">
        <f>MAX(0,((Tabelle14[[#This Row],[Wasser / 100g]]^(1/3.5))*0.95)-2.08)</f>
        <v>2.4676178247178679</v>
      </c>
      <c r="I404" s="6">
        <f>MIN(5,ROUNDUP(Tabelle14[[#This Row],[Wasser Normallisiert]]*2,0)/2)</f>
        <v>2.5</v>
      </c>
    </row>
    <row r="405" spans="2:9" ht="15" customHeight="1" x14ac:dyDescent="0.25">
      <c r="B405" s="10">
        <v>403</v>
      </c>
      <c r="C405" s="12" t="s">
        <v>545</v>
      </c>
      <c r="D405" s="6">
        <v>207</v>
      </c>
      <c r="E405" s="6">
        <f>((Tabelle14[[#This Row],[CO2 /100g]]^(1/3.3))*0.9)-2.26</f>
        <v>2.2695150294203268</v>
      </c>
      <c r="F405" s="7">
        <f>MIN(5,ROUNDUP(Tabelle14[[#This Row],[CO2 Normallisiert]]*2,0)/2)</f>
        <v>2.5</v>
      </c>
      <c r="G405" s="9">
        <v>240</v>
      </c>
      <c r="H405" s="6">
        <f>MAX(0,((Tabelle14[[#This Row],[Wasser / 100g]]^(1/3.5))*0.95)-2.08)</f>
        <v>2.4676178247178679</v>
      </c>
      <c r="I405" s="6">
        <f>MIN(5,ROUNDUP(Tabelle14[[#This Row],[Wasser Normallisiert]]*2,0)/2)</f>
        <v>2.5</v>
      </c>
    </row>
    <row r="406" spans="2:9" ht="15" customHeight="1" x14ac:dyDescent="0.25">
      <c r="B406" s="10">
        <v>404</v>
      </c>
      <c r="C406" s="12" t="s">
        <v>546</v>
      </c>
      <c r="D406" s="6">
        <v>101</v>
      </c>
      <c r="E406" s="6">
        <f>((Tabelle14[[#This Row],[CO2 /100g]]^(1/3.3))*0.9)-2.26</f>
        <v>1.3842874270404275</v>
      </c>
      <c r="F406" s="7">
        <f>MIN(5,ROUNDUP(Tabelle14[[#This Row],[CO2 Normallisiert]]*2,0)/2)</f>
        <v>1.5</v>
      </c>
      <c r="G406" s="9">
        <v>221</v>
      </c>
      <c r="H406" s="6">
        <f>MAX(0,((Tabelle14[[#This Row],[Wasser / 100g]]^(1/3.5))*0.95)-2.08)</f>
        <v>2.361707639730672</v>
      </c>
      <c r="I406" s="6">
        <f>MIN(5,ROUNDUP(Tabelle14[[#This Row],[Wasser Normallisiert]]*2,0)/2)</f>
        <v>2.5</v>
      </c>
    </row>
    <row r="407" spans="2:9" ht="15" customHeight="1" x14ac:dyDescent="0.25">
      <c r="B407" s="10">
        <v>405</v>
      </c>
      <c r="C407" s="12" t="s">
        <v>547</v>
      </c>
      <c r="D407" s="6">
        <v>96</v>
      </c>
      <c r="E407" s="6">
        <f>((Tabelle14[[#This Row],[CO2 /100g]]^(1/3.3))*0.9)-2.26</f>
        <v>1.3286471747611617</v>
      </c>
      <c r="F407" s="7">
        <f>MIN(5,ROUNDUP(Tabelle14[[#This Row],[CO2 Normallisiert]]*2,0)/2)</f>
        <v>1.5</v>
      </c>
      <c r="G407" s="9">
        <v>173</v>
      </c>
      <c r="H407" s="6">
        <f>MAX(0,((Tabelle14[[#This Row],[Wasser / 100g]]^(1/3.5))*0.95)-2.08)</f>
        <v>2.061573270225785</v>
      </c>
      <c r="I407" s="6">
        <f>MIN(5,ROUNDUP(Tabelle14[[#This Row],[Wasser Normallisiert]]*2,0)/2)</f>
        <v>2.5</v>
      </c>
    </row>
    <row r="408" spans="2:9" ht="15" customHeight="1" x14ac:dyDescent="0.25">
      <c r="B408" s="10">
        <v>406</v>
      </c>
      <c r="C408" s="12" t="s">
        <v>548</v>
      </c>
      <c r="D408" s="6">
        <v>50</v>
      </c>
      <c r="E408" s="6">
        <f>((Tabelle14[[#This Row],[CO2 /100g]]^(1/3.3))*0.9)-2.26</f>
        <v>0.68497698207312263</v>
      </c>
      <c r="F408" s="7">
        <f>MIN(5,ROUNDUP(Tabelle14[[#This Row],[CO2 Normallisiert]]*2,0)/2)</f>
        <v>1</v>
      </c>
      <c r="G408" s="9">
        <v>57</v>
      </c>
      <c r="H408" s="6">
        <f>MAX(0,((Tabelle14[[#This Row],[Wasser / 100g]]^(1/3.5))*0.95)-2.08)</f>
        <v>0.93579721267370308</v>
      </c>
      <c r="I408" s="6">
        <f>MIN(5,ROUNDUP(Tabelle14[[#This Row],[Wasser Normallisiert]]*2,0)/2)</f>
        <v>1</v>
      </c>
    </row>
    <row r="409" spans="2:9" ht="15" customHeight="1" x14ac:dyDescent="0.25">
      <c r="B409" s="10">
        <v>407</v>
      </c>
      <c r="C409" s="12" t="s">
        <v>549</v>
      </c>
      <c r="D409" s="6">
        <v>199</v>
      </c>
      <c r="E409" s="6">
        <f>((Tabelle14[[#This Row],[CO2 /100g]]^(1/3.3))*0.9)-2.26</f>
        <v>2.2157379779768966</v>
      </c>
      <c r="F409" s="7">
        <f>MIN(5,ROUNDUP(Tabelle14[[#This Row],[CO2 Normallisiert]]*2,0)/2)</f>
        <v>2.5</v>
      </c>
      <c r="G409" s="9">
        <v>133</v>
      </c>
      <c r="H409" s="6">
        <f>MAX(0,((Tabelle14[[#This Row],[Wasser / 100g]]^(1/3.5))*0.95)-2.08)</f>
        <v>1.7618319136006919</v>
      </c>
      <c r="I409" s="6">
        <f>MIN(5,ROUNDUP(Tabelle14[[#This Row],[Wasser Normallisiert]]*2,0)/2)</f>
        <v>2</v>
      </c>
    </row>
    <row r="410" spans="2:9" ht="15" customHeight="1" x14ac:dyDescent="0.25">
      <c r="B410" s="10">
        <v>408</v>
      </c>
      <c r="C410" s="12" t="s">
        <v>550</v>
      </c>
      <c r="D410" s="6">
        <v>58</v>
      </c>
      <c r="E410" s="6">
        <f>((Tabelle14[[#This Row],[CO2 /100g]]^(1/3.3))*0.9)-2.26</f>
        <v>0.82045329625539631</v>
      </c>
      <c r="F410" s="7">
        <f>MIN(5,ROUNDUP(Tabelle14[[#This Row],[CO2 Normallisiert]]*2,0)/2)</f>
        <v>1</v>
      </c>
      <c r="G410" s="9">
        <v>86</v>
      </c>
      <c r="H410" s="6">
        <f>MAX(0,((Tabelle14[[#This Row],[Wasser / 100g]]^(1/3.5))*0.95)-2.08)</f>
        <v>1.3118563306603859</v>
      </c>
      <c r="I410" s="6">
        <f>MIN(5,ROUNDUP(Tabelle14[[#This Row],[Wasser Normallisiert]]*2,0)/2)</f>
        <v>1.5</v>
      </c>
    </row>
    <row r="411" spans="2:9" ht="15" customHeight="1" x14ac:dyDescent="0.25">
      <c r="B411" s="10">
        <v>409</v>
      </c>
      <c r="C411" s="12" t="s">
        <v>551</v>
      </c>
      <c r="D411" s="6">
        <v>674</v>
      </c>
      <c r="E411" s="6">
        <f>((Tabelle14[[#This Row],[CO2 /100g]]^(1/3.3))*0.9)-2.26</f>
        <v>4.2175708972984776</v>
      </c>
      <c r="F411" s="7">
        <f>MIN(5,ROUNDUP(Tabelle14[[#This Row],[CO2 Normallisiert]]*2,0)/2)</f>
        <v>4.5</v>
      </c>
      <c r="G411" s="9">
        <v>510</v>
      </c>
      <c r="H411" s="6">
        <f>MAX(0,((Tabelle14[[#This Row],[Wasser / 100g]]^(1/3.5))*0.95)-2.08)</f>
        <v>3.5604672789774829</v>
      </c>
      <c r="I411" s="6">
        <f>MIN(5,ROUNDUP(Tabelle14[[#This Row],[Wasser Normallisiert]]*2,0)/2)</f>
        <v>4</v>
      </c>
    </row>
    <row r="412" spans="2:9" ht="15" customHeight="1" x14ac:dyDescent="0.25">
      <c r="B412" s="10">
        <v>410</v>
      </c>
      <c r="C412" s="12" t="s">
        <v>552</v>
      </c>
      <c r="D412" s="6">
        <v>177</v>
      </c>
      <c r="E412" s="6">
        <f>((Tabelle14[[#This Row],[CO2 /100g]]^(1/3.3))*0.9)-2.26</f>
        <v>2.0596298094800645</v>
      </c>
      <c r="F412" s="7">
        <f>MIN(5,ROUNDUP(Tabelle14[[#This Row],[CO2 Normallisiert]]*2,0)/2)</f>
        <v>2.5</v>
      </c>
      <c r="G412" s="9">
        <v>126</v>
      </c>
      <c r="H412" s="6">
        <f>MAX(0,((Tabelle14[[#This Row],[Wasser / 100g]]^(1/3.5))*0.95)-2.08)</f>
        <v>1.7029401932065982</v>
      </c>
      <c r="I412" s="6">
        <f>MIN(5,ROUNDUP(Tabelle14[[#This Row],[Wasser Normallisiert]]*2,0)/2)</f>
        <v>2</v>
      </c>
    </row>
    <row r="413" spans="2:9" ht="15" customHeight="1" x14ac:dyDescent="0.25">
      <c r="B413" s="10">
        <v>411</v>
      </c>
      <c r="C413" s="12" t="s">
        <v>553</v>
      </c>
      <c r="D413" s="6">
        <v>100</v>
      </c>
      <c r="E413" s="6">
        <f>((Tabelle14[[#This Row],[CO2 /100g]]^(1/3.3))*0.9)-2.26</f>
        <v>1.3733155327369002</v>
      </c>
      <c r="F413" s="7">
        <f>MIN(5,ROUNDUP(Tabelle14[[#This Row],[CO2 Normallisiert]]*2,0)/2)</f>
        <v>1.5</v>
      </c>
      <c r="G413" s="9">
        <v>223</v>
      </c>
      <c r="H413" s="6">
        <f>MAX(0,((Tabelle14[[#This Row],[Wasser / 100g]]^(1/3.5))*0.95)-2.08)</f>
        <v>2.373155411031723</v>
      </c>
      <c r="I413" s="6">
        <f>MIN(5,ROUNDUP(Tabelle14[[#This Row],[Wasser Normallisiert]]*2,0)/2)</f>
        <v>2.5</v>
      </c>
    </row>
    <row r="414" spans="2:9" ht="15" customHeight="1" x14ac:dyDescent="0.25">
      <c r="B414" s="10">
        <v>412</v>
      </c>
      <c r="C414" s="12" t="s">
        <v>554</v>
      </c>
      <c r="D414" s="6">
        <v>124</v>
      </c>
      <c r="E414" s="6">
        <f>((Tabelle14[[#This Row],[CO2 /100g]]^(1/3.3))*0.9)-2.26</f>
        <v>1.6180438644549584</v>
      </c>
      <c r="F414" s="7">
        <f>MIN(5,ROUNDUP(Tabelle14[[#This Row],[CO2 Normallisiert]]*2,0)/2)</f>
        <v>2</v>
      </c>
      <c r="G414" s="9">
        <v>161</v>
      </c>
      <c r="H414" s="6">
        <f>MAX(0,((Tabelle14[[#This Row],[Wasser / 100g]]^(1/3.5))*0.95)-2.08)</f>
        <v>1.9773762634450138</v>
      </c>
      <c r="I414" s="6">
        <f>MIN(5,ROUNDUP(Tabelle14[[#This Row],[Wasser Normallisiert]]*2,0)/2)</f>
        <v>2</v>
      </c>
    </row>
    <row r="415" spans="2:9" ht="15" customHeight="1" x14ac:dyDescent="0.25">
      <c r="B415" s="10">
        <v>413</v>
      </c>
      <c r="C415" s="12" t="s">
        <v>555</v>
      </c>
      <c r="D415" s="6">
        <v>152</v>
      </c>
      <c r="E415" s="6">
        <f>((Tabelle14[[#This Row],[CO2 /100g]]^(1/3.3))*0.9)-2.26</f>
        <v>1.8648411954063198</v>
      </c>
      <c r="F415" s="7">
        <f>MIN(5,ROUNDUP(Tabelle14[[#This Row],[CO2 Normallisiert]]*2,0)/2)</f>
        <v>2</v>
      </c>
      <c r="G415" s="9">
        <v>170</v>
      </c>
      <c r="H415" s="6">
        <f>MAX(0,((Tabelle14[[#This Row],[Wasser / 100g]]^(1/3.5))*0.95)-2.08)</f>
        <v>2.0409251438280771</v>
      </c>
      <c r="I415" s="6">
        <f>MIN(5,ROUNDUP(Tabelle14[[#This Row],[Wasser Normallisiert]]*2,0)/2)</f>
        <v>2.5</v>
      </c>
    </row>
    <row r="416" spans="2:9" ht="15" customHeight="1" x14ac:dyDescent="0.25">
      <c r="B416" s="10">
        <v>414</v>
      </c>
      <c r="C416" s="12" t="s">
        <v>556</v>
      </c>
      <c r="D416" s="6">
        <v>132</v>
      </c>
      <c r="E416" s="6">
        <f>((Tabelle14[[#This Row],[CO2 /100g]]^(1/3.3))*0.9)-2.26</f>
        <v>1.6922159854478571</v>
      </c>
      <c r="F416" s="7">
        <f>MIN(5,ROUNDUP(Tabelle14[[#This Row],[CO2 Normallisiert]]*2,0)/2)</f>
        <v>2</v>
      </c>
      <c r="G416" s="9">
        <v>117</v>
      </c>
      <c r="H416" s="6">
        <f>MAX(0,((Tabelle14[[#This Row],[Wasser / 100g]]^(1/3.5))*0.95)-2.08)</f>
        <v>1.6236833698951409</v>
      </c>
      <c r="I416" s="6">
        <f>MIN(5,ROUNDUP(Tabelle14[[#This Row],[Wasser Normallisiert]]*2,0)/2)</f>
        <v>2</v>
      </c>
    </row>
    <row r="417" spans="2:9" ht="15" customHeight="1" x14ac:dyDescent="0.25">
      <c r="B417" s="10">
        <v>415</v>
      </c>
      <c r="C417" s="12" t="s">
        <v>557</v>
      </c>
      <c r="D417" s="6">
        <v>815</v>
      </c>
      <c r="E417" s="6">
        <f>((Tabelle14[[#This Row],[CO2 /100g]]^(1/3.3))*0.9)-2.26</f>
        <v>4.6013801501223917</v>
      </c>
      <c r="F417" s="7">
        <f>MIN(5,ROUNDUP(Tabelle14[[#This Row],[CO2 Normallisiert]]*2,0)/2)</f>
        <v>5</v>
      </c>
      <c r="G417" s="9">
        <v>701</v>
      </c>
      <c r="H417" s="6">
        <f>MAX(0,((Tabelle14[[#This Row],[Wasser / 100g]]^(1/3.5))*0.95)-2.08)</f>
        <v>4.0971179786146141</v>
      </c>
      <c r="I417" s="6">
        <f>MIN(5,ROUNDUP(Tabelle14[[#This Row],[Wasser Normallisiert]]*2,0)/2)</f>
        <v>4.5</v>
      </c>
    </row>
    <row r="418" spans="2:9" ht="15" customHeight="1" x14ac:dyDescent="0.25">
      <c r="B418" s="10">
        <v>416</v>
      </c>
      <c r="C418" s="12" t="s">
        <v>558</v>
      </c>
      <c r="D418" s="6">
        <v>1460</v>
      </c>
      <c r="E418" s="6">
        <f>((Tabelle14[[#This Row],[CO2 /100g]]^(1/3.3))*0.9)-2.26</f>
        <v>5.9272360934869113</v>
      </c>
      <c r="F418" s="7">
        <f>MIN(5,ROUNDUP(Tabelle14[[#This Row],[CO2 Normallisiert]]*2,0)/2)</f>
        <v>5</v>
      </c>
      <c r="G418" s="9">
        <v>912</v>
      </c>
      <c r="H418" s="6">
        <f>MAX(0,((Tabelle14[[#This Row],[Wasser / 100g]]^(1/3.5))*0.95)-2.08)</f>
        <v>4.5794201557594949</v>
      </c>
      <c r="I418" s="6">
        <f>MIN(5,ROUNDUP(Tabelle14[[#This Row],[Wasser Normallisiert]]*2,0)/2)</f>
        <v>5</v>
      </c>
    </row>
    <row r="419" spans="2:9" ht="15" customHeight="1" x14ac:dyDescent="0.25">
      <c r="B419" s="10">
        <v>417</v>
      </c>
      <c r="C419" s="12" t="s">
        <v>559</v>
      </c>
      <c r="D419" s="6">
        <v>80</v>
      </c>
      <c r="E419" s="6">
        <f>((Tabelle14[[#This Row],[CO2 /100g]]^(1/3.3))*0.9)-2.26</f>
        <v>1.1357557510939174</v>
      </c>
      <c r="F419" s="7">
        <f>MIN(5,ROUNDUP(Tabelle14[[#This Row],[CO2 Normallisiert]]*2,0)/2)</f>
        <v>1.5</v>
      </c>
      <c r="G419" s="9">
        <v>20</v>
      </c>
      <c r="H419" s="6">
        <f>MAX(0,((Tabelle14[[#This Row],[Wasser / 100g]]^(1/3.5))*0.95)-2.08)</f>
        <v>0.1558695489677393</v>
      </c>
      <c r="I419" s="6">
        <f>MIN(5,ROUNDUP(Tabelle14[[#This Row],[Wasser Normallisiert]]*2,0)/2)</f>
        <v>0.5</v>
      </c>
    </row>
    <row r="420" spans="2:9" ht="15" customHeight="1" x14ac:dyDescent="0.25">
      <c r="B420" s="10">
        <v>418</v>
      </c>
      <c r="C420" s="12" t="s">
        <v>560</v>
      </c>
      <c r="D420" s="6">
        <v>81</v>
      </c>
      <c r="E420" s="6">
        <f>((Tabelle14[[#This Row],[CO2 /100g]]^(1/3.3))*0.9)-2.26</f>
        <v>1.1485628243914392</v>
      </c>
      <c r="F420" s="7">
        <f>MIN(5,ROUNDUP(Tabelle14[[#This Row],[CO2 Normallisiert]]*2,0)/2)</f>
        <v>1.5</v>
      </c>
      <c r="G420" s="9">
        <v>79</v>
      </c>
      <c r="H420" s="6">
        <f>MAX(0,((Tabelle14[[#This Row],[Wasser / 100g]]^(1/3.5))*0.95)-2.08)</f>
        <v>1.2305699925330109</v>
      </c>
      <c r="I420" s="6">
        <f>MIN(5,ROUNDUP(Tabelle14[[#This Row],[Wasser Normallisiert]]*2,0)/2)</f>
        <v>1.5</v>
      </c>
    </row>
    <row r="421" spans="2:9" ht="15" customHeight="1" x14ac:dyDescent="0.25">
      <c r="B421" s="10">
        <v>419</v>
      </c>
      <c r="C421" s="12" t="s">
        <v>561</v>
      </c>
      <c r="D421" s="6">
        <v>22</v>
      </c>
      <c r="E421" s="6">
        <f>((Tabelle14[[#This Row],[CO2 /100g]]^(1/3.3))*0.9)-2.26</f>
        <v>3.6345659440606415E-2</v>
      </c>
      <c r="F421" s="7">
        <f>MIN(5,ROUNDUP(Tabelle14[[#This Row],[CO2 Normallisiert]]*2,0)/2)</f>
        <v>0.5</v>
      </c>
      <c r="G421" s="9">
        <v>36</v>
      </c>
      <c r="H421" s="6">
        <f>MAX(0,((Tabelle14[[#This Row],[Wasser / 100g]]^(1/3.5))*0.95)-2.08)</f>
        <v>0.56473073722475364</v>
      </c>
      <c r="I421" s="6">
        <f>MIN(5,ROUNDUP(Tabelle14[[#This Row],[Wasser Normallisiert]]*2,0)/2)</f>
        <v>1</v>
      </c>
    </row>
    <row r="422" spans="2:9" ht="15" customHeight="1" x14ac:dyDescent="0.25">
      <c r="B422" s="10">
        <v>420</v>
      </c>
      <c r="C422" s="12" t="s">
        <v>562</v>
      </c>
      <c r="D422" s="6">
        <v>139</v>
      </c>
      <c r="E422" s="6">
        <f>((Tabelle14[[#This Row],[CO2 /100g]]^(1/3.3))*0.9)-2.26</f>
        <v>1.7545875529896966</v>
      </c>
      <c r="F422" s="7">
        <f>MIN(5,ROUNDUP(Tabelle14[[#This Row],[CO2 Normallisiert]]*2,0)/2)</f>
        <v>2</v>
      </c>
      <c r="G422" s="9">
        <v>82</v>
      </c>
      <c r="H422" s="6">
        <f>MAX(0,((Tabelle14[[#This Row],[Wasser / 100g]]^(1/3.5))*0.95)-2.08)</f>
        <v>1.2660125312060875</v>
      </c>
      <c r="I422" s="6">
        <f>MIN(5,ROUNDUP(Tabelle14[[#This Row],[Wasser Normallisiert]]*2,0)/2)</f>
        <v>1.5</v>
      </c>
    </row>
    <row r="423" spans="2:9" ht="15" customHeight="1" x14ac:dyDescent="0.25">
      <c r="B423" s="10">
        <v>421</v>
      </c>
      <c r="C423" s="12" t="s">
        <v>563</v>
      </c>
      <c r="D423" s="6">
        <v>287</v>
      </c>
      <c r="E423" s="6">
        <f>((Tabelle14[[#This Row],[CO2 /100g]]^(1/3.3))*0.9)-2.26</f>
        <v>2.7409810099470775</v>
      </c>
      <c r="F423" s="7">
        <f>MIN(5,ROUNDUP(Tabelle14[[#This Row],[CO2 Normallisiert]]*2,0)/2)</f>
        <v>3</v>
      </c>
      <c r="G423" s="9">
        <v>460</v>
      </c>
      <c r="H423" s="6">
        <f>MAX(0,((Tabelle14[[#This Row],[Wasser / 100g]]^(1/3.5))*0.95)-2.08)</f>
        <v>3.3966067480252686</v>
      </c>
      <c r="I423" s="6">
        <f>MIN(5,ROUNDUP(Tabelle14[[#This Row],[Wasser Normallisiert]]*2,0)/2)</f>
        <v>3.5</v>
      </c>
    </row>
    <row r="424" spans="2:9" ht="15" customHeight="1" x14ac:dyDescent="0.25">
      <c r="B424" s="10">
        <v>422</v>
      </c>
      <c r="C424" s="12" t="s">
        <v>564</v>
      </c>
      <c r="D424" s="6">
        <v>106</v>
      </c>
      <c r="E424" s="6">
        <f>((Tabelle14[[#This Row],[CO2 /100g]]^(1/3.3))*0.9)-2.26</f>
        <v>1.4380396177344719</v>
      </c>
      <c r="F424" s="7">
        <f>MIN(5,ROUNDUP(Tabelle14[[#This Row],[CO2 Normallisiert]]*2,0)/2)</f>
        <v>1.5</v>
      </c>
      <c r="G424" s="9">
        <v>107</v>
      </c>
      <c r="H424" s="6">
        <f>MAX(0,((Tabelle14[[#This Row],[Wasser / 100g]]^(1/3.5))*0.95)-2.08)</f>
        <v>1.5303353339291994</v>
      </c>
      <c r="I424" s="6">
        <f>MIN(5,ROUNDUP(Tabelle14[[#This Row],[Wasser Normallisiert]]*2,0)/2)</f>
        <v>2</v>
      </c>
    </row>
    <row r="425" spans="2:9" ht="15" customHeight="1" x14ac:dyDescent="0.25">
      <c r="B425" s="10">
        <v>423</v>
      </c>
      <c r="C425" s="12" t="s">
        <v>565</v>
      </c>
      <c r="D425" s="6">
        <v>118</v>
      </c>
      <c r="E425" s="6">
        <f>((Tabelle14[[#This Row],[CO2 /100g]]^(1/3.3))*0.9)-2.26</f>
        <v>1.5601950890868301</v>
      </c>
      <c r="F425" s="7">
        <f>MIN(5,ROUNDUP(Tabelle14[[#This Row],[CO2 Normallisiert]]*2,0)/2)</f>
        <v>2</v>
      </c>
      <c r="G425" s="9">
        <v>183</v>
      </c>
      <c r="H425" s="6">
        <f>MAX(0,((Tabelle14[[#This Row],[Wasser / 100g]]^(1/3.5))*0.95)-2.08)</f>
        <v>2.1286053444523985</v>
      </c>
      <c r="I425" s="6">
        <f>MIN(5,ROUNDUP(Tabelle14[[#This Row],[Wasser Normallisiert]]*2,0)/2)</f>
        <v>2.5</v>
      </c>
    </row>
    <row r="426" spans="2:9" ht="15" customHeight="1" x14ac:dyDescent="0.25">
      <c r="B426" s="10">
        <v>424</v>
      </c>
      <c r="C426" s="12" t="s">
        <v>566</v>
      </c>
      <c r="D426" s="6">
        <v>127</v>
      </c>
      <c r="E426" s="6">
        <f>((Tabelle14[[#This Row],[CO2 /100g]]^(1/3.3))*0.9)-2.26</f>
        <v>1.6462387913622805</v>
      </c>
      <c r="F426" s="7">
        <f>MIN(5,ROUNDUP(Tabelle14[[#This Row],[CO2 Normallisiert]]*2,0)/2)</f>
        <v>2</v>
      </c>
      <c r="G426" s="9">
        <v>160</v>
      </c>
      <c r="H426" s="6">
        <f>MAX(0,((Tabelle14[[#This Row],[Wasser / 100g]]^(1/3.5))*0.95)-2.08)</f>
        <v>1.9701599214142975</v>
      </c>
      <c r="I426" s="6">
        <f>MIN(5,ROUNDUP(Tabelle14[[#This Row],[Wasser Normallisiert]]*2,0)/2)</f>
        <v>2</v>
      </c>
    </row>
    <row r="427" spans="2:9" ht="15" customHeight="1" x14ac:dyDescent="0.25">
      <c r="B427" s="10">
        <v>425</v>
      </c>
      <c r="C427" s="12" t="s">
        <v>567</v>
      </c>
      <c r="D427" s="6">
        <v>982</v>
      </c>
      <c r="E427" s="6">
        <f>((Tabelle14[[#This Row],[CO2 /100g]]^(1/3.3))*0.9)-2.26</f>
        <v>5.000105978123031</v>
      </c>
      <c r="F427" s="7">
        <f>MIN(5,ROUNDUP(Tabelle14[[#This Row],[CO2 Normallisiert]]*2,0)/2)</f>
        <v>5</v>
      </c>
      <c r="G427" s="9">
        <v>893</v>
      </c>
      <c r="H427" s="6">
        <f>MAX(0,((Tabelle14[[#This Row],[Wasser / 100g]]^(1/3.5))*0.95)-2.08)</f>
        <v>4.5394822524550325</v>
      </c>
      <c r="I427" s="6">
        <f>MIN(5,ROUNDUP(Tabelle14[[#This Row],[Wasser Normallisiert]]*2,0)/2)</f>
        <v>5</v>
      </c>
    </row>
    <row r="428" spans="2:9" ht="15" customHeight="1" x14ac:dyDescent="0.25">
      <c r="B428" s="10">
        <v>426</v>
      </c>
      <c r="C428" s="12" t="s">
        <v>568</v>
      </c>
      <c r="D428" s="6">
        <v>254</v>
      </c>
      <c r="E428" s="6">
        <f>((Tabelle14[[#This Row],[CO2 /100g]]^(1/3.3))*0.9)-2.26</f>
        <v>2.5592560286991031</v>
      </c>
      <c r="F428" s="7">
        <f>MIN(5,ROUNDUP(Tabelle14[[#This Row],[CO2 Normallisiert]]*2,0)/2)</f>
        <v>3</v>
      </c>
      <c r="G428" s="9">
        <v>163</v>
      </c>
      <c r="H428" s="6">
        <f>MAX(0,((Tabelle14[[#This Row],[Wasser / 100g]]^(1/3.5))*0.95)-2.08)</f>
        <v>1.9917134495766282</v>
      </c>
      <c r="I428" s="6">
        <f>MIN(5,ROUNDUP(Tabelle14[[#This Row],[Wasser Normallisiert]]*2,0)/2)</f>
        <v>2</v>
      </c>
    </row>
    <row r="429" spans="2:9" ht="15" customHeight="1" x14ac:dyDescent="0.25">
      <c r="B429" s="10">
        <v>427</v>
      </c>
      <c r="C429" s="12" t="s">
        <v>569</v>
      </c>
      <c r="D429" s="6">
        <v>66</v>
      </c>
      <c r="E429" s="6">
        <f>((Tabelle14[[#This Row],[CO2 /100g]]^(1/3.3))*0.9)-2.26</f>
        <v>0.9434611363791543</v>
      </c>
      <c r="F429" s="7">
        <f>MIN(5,ROUNDUP(Tabelle14[[#This Row],[CO2 Normallisiert]]*2,0)/2)</f>
        <v>1</v>
      </c>
      <c r="G429" s="9">
        <v>69</v>
      </c>
      <c r="H429" s="6">
        <f>MAX(0,((Tabelle14[[#This Row],[Wasser / 100g]]^(1/3.5))*0.95)-2.08)</f>
        <v>1.1049972360185127</v>
      </c>
      <c r="I429" s="6">
        <f>MIN(5,ROUNDUP(Tabelle14[[#This Row],[Wasser Normallisiert]]*2,0)/2)</f>
        <v>1.5</v>
      </c>
    </row>
    <row r="430" spans="2:9" ht="15" customHeight="1" x14ac:dyDescent="0.25">
      <c r="B430" s="10">
        <v>428</v>
      </c>
      <c r="C430" s="12" t="s">
        <v>570</v>
      </c>
      <c r="D430" s="6">
        <v>246</v>
      </c>
      <c r="E430" s="6">
        <f>((Tabelle14[[#This Row],[CO2 /100g]]^(1/3.3))*0.9)-2.26</f>
        <v>2.5127457487483769</v>
      </c>
      <c r="F430" s="7">
        <f>MIN(5,ROUNDUP(Tabelle14[[#This Row],[CO2 Normallisiert]]*2,0)/2)</f>
        <v>3</v>
      </c>
      <c r="G430" s="9">
        <v>225</v>
      </c>
      <c r="H430" s="6">
        <f>MAX(0,((Tabelle14[[#This Row],[Wasser / 100g]]^(1/3.5))*0.95)-2.08)</f>
        <v>2.3845300792683028</v>
      </c>
      <c r="I430" s="6">
        <f>MIN(5,ROUNDUP(Tabelle14[[#This Row],[Wasser Normallisiert]]*2,0)/2)</f>
        <v>2.5</v>
      </c>
    </row>
    <row r="431" spans="2:9" ht="15" customHeight="1" x14ac:dyDescent="0.25">
      <c r="B431" s="10">
        <v>429</v>
      </c>
      <c r="C431" s="12" t="s">
        <v>571</v>
      </c>
      <c r="D431" s="6">
        <v>297</v>
      </c>
      <c r="E431" s="6">
        <f>((Tabelle14[[#This Row],[CO2 /100g]]^(1/3.3))*0.9)-2.26</f>
        <v>2.7931552983938523</v>
      </c>
      <c r="F431" s="7">
        <f>MIN(5,ROUNDUP(Tabelle14[[#This Row],[CO2 Normallisiert]]*2,0)/2)</f>
        <v>3</v>
      </c>
      <c r="G431" s="9">
        <v>229</v>
      </c>
      <c r="H431" s="6">
        <f>MAX(0,((Tabelle14[[#This Row],[Wasser / 100g]]^(1/3.5))*0.95)-2.08)</f>
        <v>2.4070645218821065</v>
      </c>
      <c r="I431" s="6">
        <f>MIN(5,ROUNDUP(Tabelle14[[#This Row],[Wasser Normallisiert]]*2,0)/2)</f>
        <v>2.5</v>
      </c>
    </row>
    <row r="432" spans="2:9" ht="15" customHeight="1" x14ac:dyDescent="0.25">
      <c r="B432" s="10">
        <v>430</v>
      </c>
      <c r="C432" s="12" t="s">
        <v>572</v>
      </c>
      <c r="D432" s="6">
        <v>84</v>
      </c>
      <c r="E432" s="6">
        <f>((Tabelle14[[#This Row],[CO2 /100g]]^(1/3.3))*0.9)-2.26</f>
        <v>1.1863346347757919</v>
      </c>
      <c r="F432" s="7">
        <f>MIN(5,ROUNDUP(Tabelle14[[#This Row],[CO2 Normallisiert]]*2,0)/2)</f>
        <v>1.5</v>
      </c>
      <c r="G432" s="9">
        <v>91</v>
      </c>
      <c r="H432" s="6">
        <f>MAX(0,((Tabelle14[[#This Row],[Wasser / 100g]]^(1/3.5))*0.95)-2.08)</f>
        <v>1.3670669411820646</v>
      </c>
      <c r="I432" s="6">
        <f>MIN(5,ROUNDUP(Tabelle14[[#This Row],[Wasser Normallisiert]]*2,0)/2)</f>
        <v>1.5</v>
      </c>
    </row>
    <row r="433" spans="2:9" ht="15" customHeight="1" x14ac:dyDescent="0.25">
      <c r="B433" s="10">
        <v>431</v>
      </c>
      <c r="C433" s="12" t="s">
        <v>573</v>
      </c>
      <c r="D433" s="6">
        <v>207</v>
      </c>
      <c r="E433" s="6">
        <f>((Tabelle14[[#This Row],[CO2 /100g]]^(1/3.3))*0.9)-2.26</f>
        <v>2.2695150294203268</v>
      </c>
      <c r="F433" s="7">
        <f>MIN(5,ROUNDUP(Tabelle14[[#This Row],[CO2 Normallisiert]]*2,0)/2)</f>
        <v>2.5</v>
      </c>
      <c r="G433" s="9">
        <v>128</v>
      </c>
      <c r="H433" s="6">
        <f>MAX(0,((Tabelle14[[#This Row],[Wasser / 100g]]^(1/3.5))*0.95)-2.08)</f>
        <v>1.7199999999999998</v>
      </c>
      <c r="I433" s="6">
        <f>MIN(5,ROUNDUP(Tabelle14[[#This Row],[Wasser Normallisiert]]*2,0)/2)</f>
        <v>2</v>
      </c>
    </row>
    <row r="434" spans="2:9" ht="15" customHeight="1" x14ac:dyDescent="0.25">
      <c r="B434" s="10">
        <v>432</v>
      </c>
      <c r="C434" s="12" t="s">
        <v>574</v>
      </c>
      <c r="D434" s="6">
        <v>76</v>
      </c>
      <c r="E434" s="6">
        <f>((Tabelle14[[#This Row],[CO2 /100g]]^(1/3.3))*0.9)-2.26</f>
        <v>1.0833821713877105</v>
      </c>
      <c r="F434" s="7">
        <f>MIN(5,ROUNDUP(Tabelle14[[#This Row],[CO2 Normallisiert]]*2,0)/2)</f>
        <v>1.5</v>
      </c>
      <c r="G434" s="9">
        <v>19</v>
      </c>
      <c r="H434" s="6">
        <f>MAX(0,((Tabelle14[[#This Row],[Wasser / 100g]]^(1/3.5))*0.95)-2.08)</f>
        <v>0.1233413098084033</v>
      </c>
      <c r="I434" s="6">
        <f>MIN(5,ROUNDUP(Tabelle14[[#This Row],[Wasser Normallisiert]]*2,0)/2)</f>
        <v>0.5</v>
      </c>
    </row>
    <row r="435" spans="2:9" ht="15" customHeight="1" x14ac:dyDescent="0.25">
      <c r="B435" s="10">
        <v>433</v>
      </c>
      <c r="C435" s="12" t="s">
        <v>575</v>
      </c>
      <c r="D435" s="6">
        <v>48</v>
      </c>
      <c r="E435" s="6">
        <f>((Tabelle14[[#This Row],[CO2 /100g]]^(1/3.3))*0.9)-2.26</f>
        <v>0.64877112962780537</v>
      </c>
      <c r="F435" s="7">
        <f>MIN(5,ROUNDUP(Tabelle14[[#This Row],[CO2 Normallisiert]]*2,0)/2)</f>
        <v>1</v>
      </c>
      <c r="G435" s="9">
        <v>62</v>
      </c>
      <c r="H435" s="6">
        <f>MAX(0,((Tabelle14[[#This Row],[Wasser / 100g]]^(1/3.5))*0.95)-2.08)</f>
        <v>1.0091252446416656</v>
      </c>
      <c r="I435" s="6">
        <f>MIN(5,ROUNDUP(Tabelle14[[#This Row],[Wasser Normallisiert]]*2,0)/2)</f>
        <v>1.5</v>
      </c>
    </row>
    <row r="436" spans="2:9" ht="15" customHeight="1" x14ac:dyDescent="0.25">
      <c r="B436" s="10">
        <v>434</v>
      </c>
      <c r="C436" s="12" t="s">
        <v>576</v>
      </c>
      <c r="D436" s="6">
        <v>64</v>
      </c>
      <c r="E436" s="6">
        <f>((Tabelle14[[#This Row],[CO2 /100g]]^(1/3.3))*0.9)-2.26</f>
        <v>0.913728517985676</v>
      </c>
      <c r="F436" s="7">
        <f>MIN(5,ROUNDUP(Tabelle14[[#This Row],[CO2 Normallisiert]]*2,0)/2)</f>
        <v>1</v>
      </c>
      <c r="G436" s="9">
        <v>40</v>
      </c>
      <c r="H436" s="6">
        <f>MAX(0,((Tabelle14[[#This Row],[Wasser / 100g]]^(1/3.5))*0.95)-2.08)</f>
        <v>0.6455555092116767</v>
      </c>
      <c r="I436" s="6">
        <f>MIN(5,ROUNDUP(Tabelle14[[#This Row],[Wasser Normallisiert]]*2,0)/2)</f>
        <v>1</v>
      </c>
    </row>
    <row r="437" spans="2:9" ht="15" customHeight="1" x14ac:dyDescent="0.25">
      <c r="B437" s="10">
        <v>435</v>
      </c>
      <c r="C437" s="12" t="s">
        <v>577</v>
      </c>
      <c r="D437" s="6">
        <v>71</v>
      </c>
      <c r="E437" s="6">
        <f>((Tabelle14[[#This Row],[CO2 /100g]]^(1/3.3))*0.9)-2.26</f>
        <v>1.0151401406280751</v>
      </c>
      <c r="F437" s="7">
        <f>MIN(5,ROUNDUP(Tabelle14[[#This Row],[CO2 Normallisiert]]*2,0)/2)</f>
        <v>1.5</v>
      </c>
      <c r="G437" s="9">
        <v>71</v>
      </c>
      <c r="H437" s="6">
        <f>MAX(0,((Tabelle14[[#This Row],[Wasser / 100g]]^(1/3.5))*0.95)-2.08)</f>
        <v>1.1311054085932239</v>
      </c>
      <c r="I437" s="6">
        <f>MIN(5,ROUNDUP(Tabelle14[[#This Row],[Wasser Normallisiert]]*2,0)/2)</f>
        <v>1.5</v>
      </c>
    </row>
    <row r="438" spans="2:9" ht="15" customHeight="1" x14ac:dyDescent="0.25">
      <c r="B438" s="10">
        <v>436</v>
      </c>
      <c r="C438" s="12" t="s">
        <v>578</v>
      </c>
      <c r="D438" s="6">
        <v>140</v>
      </c>
      <c r="E438" s="6">
        <f>((Tabelle14[[#This Row],[CO2 /100g]]^(1/3.3))*0.9)-2.26</f>
        <v>1.763317798032296</v>
      </c>
      <c r="F438" s="7">
        <f>MIN(5,ROUNDUP(Tabelle14[[#This Row],[CO2 Normallisiert]]*2,0)/2)</f>
        <v>2</v>
      </c>
      <c r="G438" s="9">
        <v>218</v>
      </c>
      <c r="H438" s="6">
        <f>MAX(0,((Tabelle14[[#This Row],[Wasser / 100g]]^(1/3.5))*0.95)-2.08)</f>
        <v>2.3443964178451431</v>
      </c>
      <c r="I438" s="6">
        <f>MIN(5,ROUNDUP(Tabelle14[[#This Row],[Wasser Normallisiert]]*2,0)/2)</f>
        <v>2.5</v>
      </c>
    </row>
    <row r="439" spans="2:9" ht="15" customHeight="1" x14ac:dyDescent="0.25">
      <c r="B439" s="10">
        <v>437</v>
      </c>
      <c r="C439" s="12" t="s">
        <v>579</v>
      </c>
      <c r="D439" s="6">
        <v>102</v>
      </c>
      <c r="E439" s="6">
        <f>((Tabelle14[[#This Row],[CO2 /100g]]^(1/3.3))*0.9)-2.26</f>
        <v>1.3951838666834875</v>
      </c>
      <c r="F439" s="7">
        <f>MIN(5,ROUNDUP(Tabelle14[[#This Row],[CO2 Normallisiert]]*2,0)/2)</f>
        <v>1.5</v>
      </c>
      <c r="G439" s="9">
        <v>133</v>
      </c>
      <c r="H439" s="6">
        <f>MAX(0,((Tabelle14[[#This Row],[Wasser / 100g]]^(1/3.5))*0.95)-2.08)</f>
        <v>1.7618319136006919</v>
      </c>
      <c r="I439" s="6">
        <f>MIN(5,ROUNDUP(Tabelle14[[#This Row],[Wasser Normallisiert]]*2,0)/2)</f>
        <v>2</v>
      </c>
    </row>
    <row r="440" spans="2:9" ht="15" customHeight="1" x14ac:dyDescent="0.25">
      <c r="B440" s="10">
        <v>438</v>
      </c>
      <c r="C440" s="12" t="s">
        <v>580</v>
      </c>
      <c r="D440" s="6">
        <v>85</v>
      </c>
      <c r="E440" s="6">
        <f>((Tabelle14[[#This Row],[CO2 /100g]]^(1/3.3))*0.9)-2.26</f>
        <v>1.1987160654550095</v>
      </c>
      <c r="F440" s="7">
        <f>MIN(5,ROUNDUP(Tabelle14[[#This Row],[CO2 Normallisiert]]*2,0)/2)</f>
        <v>1.5</v>
      </c>
      <c r="G440" s="9">
        <v>63</v>
      </c>
      <c r="H440" s="6">
        <f>MAX(0,((Tabelle14[[#This Row],[Wasser / 100g]]^(1/3.5))*0.95)-2.08)</f>
        <v>1.0232795901497371</v>
      </c>
      <c r="I440" s="6">
        <f>MIN(5,ROUNDUP(Tabelle14[[#This Row],[Wasser Normallisiert]]*2,0)/2)</f>
        <v>1.5</v>
      </c>
    </row>
    <row r="441" spans="2:9" ht="15" customHeight="1" x14ac:dyDescent="0.25">
      <c r="B441" s="10">
        <v>439</v>
      </c>
      <c r="C441" s="12" t="s">
        <v>581</v>
      </c>
      <c r="D441" s="6">
        <v>51</v>
      </c>
      <c r="E441" s="6">
        <f>((Tabelle14[[#This Row],[CO2 /100g]]^(1/3.3))*0.9)-2.26</f>
        <v>0.70270231848520037</v>
      </c>
      <c r="F441" s="7">
        <f>MIN(5,ROUNDUP(Tabelle14[[#This Row],[CO2 Normallisiert]]*2,0)/2)</f>
        <v>1</v>
      </c>
      <c r="G441" s="9">
        <v>147</v>
      </c>
      <c r="H441" s="6">
        <f>MAX(0,((Tabelle14[[#This Row],[Wasser / 100g]]^(1/3.5))*0.95)-2.08)</f>
        <v>1.8732759418174041</v>
      </c>
      <c r="I441" s="6">
        <f>MIN(5,ROUNDUP(Tabelle14[[#This Row],[Wasser Normallisiert]]*2,0)/2)</f>
        <v>2</v>
      </c>
    </row>
    <row r="442" spans="2:9" ht="15" customHeight="1" x14ac:dyDescent="0.25">
      <c r="B442" s="10">
        <v>440</v>
      </c>
      <c r="C442" s="12" t="s">
        <v>582</v>
      </c>
      <c r="D442" s="6">
        <v>172</v>
      </c>
      <c r="E442" s="6">
        <f>((Tabelle14[[#This Row],[CO2 /100g]]^(1/3.3))*0.9)-2.26</f>
        <v>2.0222830723804295</v>
      </c>
      <c r="F442" s="7">
        <f>MIN(5,ROUNDUP(Tabelle14[[#This Row],[CO2 Normallisiert]]*2,0)/2)</f>
        <v>2.5</v>
      </c>
      <c r="G442" s="9">
        <v>210</v>
      </c>
      <c r="H442" s="6">
        <f>MAX(0,((Tabelle14[[#This Row],[Wasser / 100g]]^(1/3.5))*0.95)-2.08)</f>
        <v>2.2973858766087982</v>
      </c>
      <c r="I442" s="6">
        <f>MIN(5,ROUNDUP(Tabelle14[[#This Row],[Wasser Normallisiert]]*2,0)/2)</f>
        <v>2.5</v>
      </c>
    </row>
    <row r="443" spans="2:9" ht="15" customHeight="1" x14ac:dyDescent="0.25">
      <c r="B443" s="10">
        <v>441</v>
      </c>
      <c r="C443" s="12" t="s">
        <v>583</v>
      </c>
      <c r="D443" s="6">
        <v>73</v>
      </c>
      <c r="E443" s="6">
        <f>((Tabelle14[[#This Row],[CO2 /100g]]^(1/3.3))*0.9)-2.26</f>
        <v>1.0428268035576149</v>
      </c>
      <c r="F443" s="7">
        <f>MIN(5,ROUNDUP(Tabelle14[[#This Row],[CO2 Normallisiert]]*2,0)/2)</f>
        <v>1.5</v>
      </c>
      <c r="G443" s="9">
        <v>70</v>
      </c>
      <c r="H443" s="6">
        <f>MAX(0,((Tabelle14[[#This Row],[Wasser / 100g]]^(1/3.5))*0.95)-2.08)</f>
        <v>1.1181179272837181</v>
      </c>
      <c r="I443" s="6">
        <f>MIN(5,ROUNDUP(Tabelle14[[#This Row],[Wasser Normallisiert]]*2,0)/2)</f>
        <v>1.5</v>
      </c>
    </row>
    <row r="444" spans="2:9" ht="15" customHeight="1" x14ac:dyDescent="0.25">
      <c r="B444" s="10">
        <v>442</v>
      </c>
      <c r="C444" s="12" t="s">
        <v>584</v>
      </c>
      <c r="D444" s="6">
        <v>458</v>
      </c>
      <c r="E444" s="6">
        <f>((Tabelle14[[#This Row],[CO2 /100g]]^(1/3.3))*0.9)-2.26</f>
        <v>3.5018955541463255</v>
      </c>
      <c r="F444" s="7">
        <f>MIN(5,ROUNDUP(Tabelle14[[#This Row],[CO2 Normallisiert]]*2,0)/2)</f>
        <v>4</v>
      </c>
      <c r="G444" s="9">
        <v>531</v>
      </c>
      <c r="H444" s="6">
        <f>MAX(0,((Tabelle14[[#This Row],[Wasser / 100g]]^(1/3.5))*0.95)-2.08)</f>
        <v>3.6258721970020051</v>
      </c>
      <c r="I444" s="6">
        <f>MIN(5,ROUNDUP(Tabelle14[[#This Row],[Wasser Normallisiert]]*2,0)/2)</f>
        <v>4</v>
      </c>
    </row>
    <row r="445" spans="2:9" ht="15" customHeight="1" x14ac:dyDescent="0.25">
      <c r="B445" s="10">
        <v>443</v>
      </c>
      <c r="C445" s="12" t="s">
        <v>585</v>
      </c>
      <c r="D445" s="6">
        <v>313</v>
      </c>
      <c r="E445" s="6">
        <f>((Tabelle14[[#This Row],[CO2 /100g]]^(1/3.3))*0.9)-2.26</f>
        <v>2.874144246871384</v>
      </c>
      <c r="F445" s="7">
        <f>MIN(5,ROUNDUP(Tabelle14[[#This Row],[CO2 Normallisiert]]*2,0)/2)</f>
        <v>3</v>
      </c>
      <c r="G445" s="9">
        <v>249</v>
      </c>
      <c r="H445" s="6">
        <f>MAX(0,((Tabelle14[[#This Row],[Wasser / 100g]]^(1/3.5))*0.95)-2.08)</f>
        <v>2.5157033786838552</v>
      </c>
      <c r="I445" s="6">
        <f>MIN(5,ROUNDUP(Tabelle14[[#This Row],[Wasser Normallisiert]]*2,0)/2)</f>
        <v>3</v>
      </c>
    </row>
    <row r="446" spans="2:9" ht="15" customHeight="1" x14ac:dyDescent="0.25">
      <c r="B446" s="10">
        <v>444</v>
      </c>
      <c r="C446" s="12" t="s">
        <v>586</v>
      </c>
      <c r="D446" s="6">
        <v>295</v>
      </c>
      <c r="E446" s="6">
        <f>((Tabelle14[[#This Row],[CO2 /100g]]^(1/3.3))*0.9)-2.26</f>
        <v>2.7828194981485428</v>
      </c>
      <c r="F446" s="7">
        <f>MIN(5,ROUNDUP(Tabelle14[[#This Row],[CO2 Normallisiert]]*2,0)/2)</f>
        <v>3</v>
      </c>
      <c r="G446" s="9">
        <v>248</v>
      </c>
      <c r="H446" s="6">
        <f>MAX(0,((Tabelle14[[#This Row],[Wasser / 100g]]^(1/3.5))*0.95)-2.08)</f>
        <v>2.5104224719662938</v>
      </c>
      <c r="I446" s="6">
        <f>MIN(5,ROUNDUP(Tabelle14[[#This Row],[Wasser Normallisiert]]*2,0)/2)</f>
        <v>3</v>
      </c>
    </row>
    <row r="447" spans="2:9" ht="15" customHeight="1" x14ac:dyDescent="0.25">
      <c r="B447" s="10">
        <v>445</v>
      </c>
      <c r="C447" s="12" t="s">
        <v>587</v>
      </c>
      <c r="D447" s="6">
        <v>128</v>
      </c>
      <c r="E447" s="6">
        <f>((Tabelle14[[#This Row],[CO2 /100g]]^(1/3.3))*0.9)-2.26</f>
        <v>1.6555338704786884</v>
      </c>
      <c r="F447" s="7">
        <f>MIN(5,ROUNDUP(Tabelle14[[#This Row],[CO2 Normallisiert]]*2,0)/2)</f>
        <v>2</v>
      </c>
      <c r="G447" s="9">
        <v>205</v>
      </c>
      <c r="H447" s="6">
        <f>MAX(0,((Tabelle14[[#This Row],[Wasser / 100g]]^(1/3.5))*0.95)-2.08)</f>
        <v>2.2673510241862882</v>
      </c>
      <c r="I447" s="6">
        <f>MIN(5,ROUNDUP(Tabelle14[[#This Row],[Wasser Normallisiert]]*2,0)/2)</f>
        <v>2.5</v>
      </c>
    </row>
    <row r="448" spans="2:9" ht="15" customHeight="1" x14ac:dyDescent="0.25">
      <c r="B448" s="10">
        <v>446</v>
      </c>
      <c r="C448" s="12" t="s">
        <v>588</v>
      </c>
      <c r="D448" s="6">
        <v>332</v>
      </c>
      <c r="E448" s="6">
        <f>((Tabelle14[[#This Row],[CO2 /100g]]^(1/3.3))*0.9)-2.26</f>
        <v>2.9666539494212429</v>
      </c>
      <c r="F448" s="7">
        <f>MIN(5,ROUNDUP(Tabelle14[[#This Row],[CO2 Normallisiert]]*2,0)/2)</f>
        <v>3</v>
      </c>
      <c r="G448" s="9">
        <v>270</v>
      </c>
      <c r="H448" s="6">
        <f>MAX(0,((Tabelle14[[#This Row],[Wasser / 100g]]^(1/3.5))*0.95)-2.08)</f>
        <v>2.6232597716974748</v>
      </c>
      <c r="I448" s="6">
        <f>MIN(5,ROUNDUP(Tabelle14[[#This Row],[Wasser Normallisiert]]*2,0)/2)</f>
        <v>3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Zutaten_Analyse</vt:lpstr>
      <vt:lpstr>Rezept_Analyse</vt:lpstr>
      <vt:lpstr>Zutaten_Daten</vt:lpstr>
      <vt:lpstr>Rezept_Daten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Schepi</dc:creator>
  <cp:lastModifiedBy>Schepi</cp:lastModifiedBy>
  <dcterms:created xsi:type="dcterms:W3CDTF">2022-10-25T11:47:54Z</dcterms:created>
  <dcterms:modified xsi:type="dcterms:W3CDTF">2022-11-16T23:57:08Z</dcterms:modified>
</cp:coreProperties>
</file>